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6211\Excel\"/>
    </mc:Choice>
  </mc:AlternateContent>
  <xr:revisionPtr revIDLastSave="0" documentId="13_ncr:1_{40D0FB42-E1BE-4679-8C4F-005035FE1AF1}" xr6:coauthVersionLast="37" xr6:coauthVersionMax="37" xr10:uidLastSave="{00000000-0000-0000-0000-000000000000}"/>
  <bookViews>
    <workbookView xWindow="0" yWindow="0" windowWidth="7680" windowHeight="10930" activeTab="1" xr2:uid="{283383FA-06D3-45BA-9C1B-BAA55A9A2CC4}"/>
  </bookViews>
  <sheets>
    <sheet name="RawData" sheetId="1" r:id="rId1"/>
    <sheet name="Vlookup" sheetId="2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83" i="1" l="1"/>
  <c r="M82" i="1"/>
  <c r="M84" i="1" s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N3" i="1"/>
  <c r="I3" i="1"/>
  <c r="I2" i="1"/>
  <c r="M85" i="1" l="1"/>
</calcChain>
</file>

<file path=xl/sharedStrings.xml><?xml version="1.0" encoding="utf-8"?>
<sst xmlns="http://schemas.openxmlformats.org/spreadsheetml/2006/main" count="604" uniqueCount="334">
  <si>
    <t>S.No</t>
  </si>
  <si>
    <t>Cohort</t>
  </si>
  <si>
    <t>Enrollment number</t>
  </si>
  <si>
    <t>Name of the Student</t>
  </si>
  <si>
    <t>Specialization</t>
  </si>
  <si>
    <t>MobileNo</t>
  </si>
  <si>
    <t>Mail IDs</t>
  </si>
  <si>
    <t>Gender</t>
  </si>
  <si>
    <t>Name According to Bank</t>
  </si>
  <si>
    <t>Parent Mobile NO</t>
  </si>
  <si>
    <t>DOB</t>
  </si>
  <si>
    <t>Age</t>
  </si>
  <si>
    <t>0223CPIT001</t>
  </si>
  <si>
    <t>NIKITHA ADULA</t>
  </si>
  <si>
    <t>ITES</t>
  </si>
  <si>
    <t>nikitha.itesites@gmail.com</t>
  </si>
  <si>
    <t>Female</t>
  </si>
  <si>
    <t>01.01.2005</t>
  </si>
  <si>
    <t>P</t>
  </si>
  <si>
    <t>A</t>
  </si>
  <si>
    <t>L</t>
  </si>
  <si>
    <t>0223CPIT002</t>
  </si>
  <si>
    <t>ADULA LIKHITHA</t>
  </si>
  <si>
    <t>Full Stack</t>
  </si>
  <si>
    <t>adulalikitha.fullstack@gmail.com</t>
  </si>
  <si>
    <t>06.10.2002</t>
  </si>
  <si>
    <t>0223CPIT003</t>
  </si>
  <si>
    <t>AKASH RAJPOOT</t>
  </si>
  <si>
    <t>akashrajpoot.fullstack@gmail.com</t>
  </si>
  <si>
    <t>Male</t>
  </si>
  <si>
    <t>09.06.2004</t>
  </si>
  <si>
    <t>0223CPIT004</t>
  </si>
  <si>
    <t>ALOK KUMAR</t>
  </si>
  <si>
    <t>alokkumar.fullstack@gmail.com</t>
  </si>
  <si>
    <t>28.03.2004</t>
  </si>
  <si>
    <t>0223CPIT005</t>
  </si>
  <si>
    <t>AYUSHMAN SINGH BAGHEL</t>
  </si>
  <si>
    <t>ayushmansinghbaghel.fullstack@gmail.com</t>
  </si>
  <si>
    <t>02.12.2005</t>
  </si>
  <si>
    <t>0223CPIT006</t>
  </si>
  <si>
    <t>B SANDEEP ROY</t>
  </si>
  <si>
    <t>bsandeeproy.itesites@gmail.com</t>
  </si>
  <si>
    <t>10.07.1998</t>
  </si>
  <si>
    <t>0223CPIT007</t>
  </si>
  <si>
    <t>B. SRINIVASULU</t>
  </si>
  <si>
    <t>bsrinivasulu.fullstack@gmail.com</t>
  </si>
  <si>
    <t>16.06.2005</t>
  </si>
  <si>
    <t>0223CPIT008</t>
  </si>
  <si>
    <t>BAIRI PRATHYUSH</t>
  </si>
  <si>
    <t>bairiprathyush.fullstack@gmail.com</t>
  </si>
  <si>
    <t>02.08.2002</t>
  </si>
  <si>
    <t>0223CPIT009</t>
  </si>
  <si>
    <t>BANDAPALLI GANGABHAVANI</t>
  </si>
  <si>
    <t>bandapalligangabhavani.itesites@gmail.com</t>
  </si>
  <si>
    <t>10.11.2001</t>
  </si>
  <si>
    <t>0223CPIT010</t>
  </si>
  <si>
    <t>BURRI VINITHA</t>
  </si>
  <si>
    <t>burrivinitha.fullstack@gmail.com</t>
  </si>
  <si>
    <t>12.09.2004</t>
  </si>
  <si>
    <t>0223CPIT011</t>
  </si>
  <si>
    <t>CHANDRA SAMPATH KUMAR</t>
  </si>
  <si>
    <t>chandrasampathkumar.fullstack@gmail.com</t>
  </si>
  <si>
    <t>09.12.2002</t>
  </si>
  <si>
    <t>0223CPIT012</t>
  </si>
  <si>
    <t>CHINNAKOTLA SURYA TEJA</t>
  </si>
  <si>
    <t>chinnakotlasuryateja.fullstack@gmail.com</t>
  </si>
  <si>
    <t>23.03.2001</t>
  </si>
  <si>
    <t>0223CPIT013</t>
  </si>
  <si>
    <t>DASARI VIMALA</t>
  </si>
  <si>
    <t>dasarivimala.fullstack@gmail.com</t>
  </si>
  <si>
    <t>01.10.2003</t>
  </si>
  <si>
    <t>0223CPIT014</t>
  </si>
  <si>
    <t>DEVALLA DEEPAK</t>
  </si>
  <si>
    <t>devalladeepak.itesites@gmail.com</t>
  </si>
  <si>
    <t>30.01.2006</t>
  </si>
  <si>
    <t>0223CPIT015</t>
  </si>
  <si>
    <t>DEVKATHE KOMAL</t>
  </si>
  <si>
    <t>devkathekomal.fullstack@gmail.com</t>
  </si>
  <si>
    <t>09.03.2003</t>
  </si>
  <si>
    <t>0223CPIT016</t>
  </si>
  <si>
    <t>EERAMMAGARI RAVITEJA</t>
  </si>
  <si>
    <t>eerammagariraviteja.fullstack@gmail.com</t>
  </si>
  <si>
    <t>15.06.2005</t>
  </si>
  <si>
    <t>0223CPIT017</t>
  </si>
  <si>
    <t>ELLENDULA SUPRIYA</t>
  </si>
  <si>
    <t>ellendulasupriya.itesites@gmail.com</t>
  </si>
  <si>
    <t>02.11.2003</t>
  </si>
  <si>
    <t>0223CPIT018</t>
  </si>
  <si>
    <t>GADIYARAM VARSHA</t>
  </si>
  <si>
    <t>gadiyaramvarsha.fullstack@gmail.com</t>
  </si>
  <si>
    <t>26.08.2006</t>
  </si>
  <si>
    <t>0223CPIT019</t>
  </si>
  <si>
    <t>GAIKWAD SRUSHTI</t>
  </si>
  <si>
    <t>gaikwadsrushti.fullstack@gmail.com</t>
  </si>
  <si>
    <t>06.12.2003</t>
  </si>
  <si>
    <t>0223CPIT020</t>
  </si>
  <si>
    <t>GAJJELA GIRI</t>
  </si>
  <si>
    <t>gajjelagiri.itesites@gmail.com</t>
  </si>
  <si>
    <t>01.01.2006</t>
  </si>
  <si>
    <t>0223CPIT021</t>
  </si>
  <si>
    <t>GARAPATI GAYATHRI</t>
  </si>
  <si>
    <t>garapatigayathri.itesites@gmail.com</t>
  </si>
  <si>
    <t>11.04.2002</t>
  </si>
  <si>
    <t>0223CPIT022</t>
  </si>
  <si>
    <t>GOLI SAI LOKESH</t>
  </si>
  <si>
    <t>golisailokesh.fullstack@gmail.com</t>
  </si>
  <si>
    <t>13.01.2003</t>
  </si>
  <si>
    <t>0223CPIT023</t>
  </si>
  <si>
    <t>GURRAM YAMINI</t>
  </si>
  <si>
    <t>gurramyamini.fullstack@gmail.com</t>
  </si>
  <si>
    <t>21.07.2002</t>
  </si>
  <si>
    <t>0223CPIT024</t>
  </si>
  <si>
    <t>HARI OM RAI</t>
  </si>
  <si>
    <t>hariomrai.fullstack@gmail.com</t>
  </si>
  <si>
    <t>01.07.2005</t>
  </si>
  <si>
    <t>0223CPIT025</t>
  </si>
  <si>
    <t>JADHAV YOGESH DHARAMSIGH</t>
  </si>
  <si>
    <t>jadhavyogeshdharamsigh.fullstack@gmail.com</t>
  </si>
  <si>
    <t>10.06.2004</t>
  </si>
  <si>
    <t>0223CPIT026</t>
  </si>
  <si>
    <t>K. SANTOSHI</t>
  </si>
  <si>
    <t>ksantoshi.fullstack@gmail.com</t>
  </si>
  <si>
    <t>13.10.1996</t>
  </si>
  <si>
    <t>0223CPIT027</t>
  </si>
  <si>
    <t>KALIGOTA NIHARIKA</t>
  </si>
  <si>
    <t>kaligotaniharika.itesites@gmail.com</t>
  </si>
  <si>
    <t>26.11.2005</t>
  </si>
  <si>
    <t>0223CPIT028</t>
  </si>
  <si>
    <t>KALPANA KODARI</t>
  </si>
  <si>
    <t>kalpanakodari.fullstack@gmail.com</t>
  </si>
  <si>
    <t>18.03.2001</t>
  </si>
  <si>
    <t>0223CPIT029</t>
  </si>
  <si>
    <t>KANCHA AKASH</t>
  </si>
  <si>
    <t>kanchaakash.fullstack@gmail.com</t>
  </si>
  <si>
    <t>18.01.2003</t>
  </si>
  <si>
    <t>0223CPIT030</t>
  </si>
  <si>
    <t>KASTURI SAI MAHESH</t>
  </si>
  <si>
    <t>kasturisaimahesh.fullstack@gmail.com</t>
  </si>
  <si>
    <t>28.02.2006</t>
  </si>
  <si>
    <t>0223CPIT031</t>
  </si>
  <si>
    <t>LOVE TIWARI</t>
  </si>
  <si>
    <t>lovetiwari.fullstack@gmail.com</t>
  </si>
  <si>
    <t>05.08.2001</t>
  </si>
  <si>
    <t>0223CPIT032</t>
  </si>
  <si>
    <t>M. BALAJI</t>
  </si>
  <si>
    <t>mbalaji.itesites@gmail.com</t>
  </si>
  <si>
    <t>29.07.2004</t>
  </si>
  <si>
    <t>0223CPIT033</t>
  </si>
  <si>
    <t>MADHI VAISHNAVI</t>
  </si>
  <si>
    <t>madhivaishnavi.itesites@gmail.com</t>
  </si>
  <si>
    <t>0223CPIT034</t>
  </si>
  <si>
    <t>MANDALOJU NAGALAXMI</t>
  </si>
  <si>
    <t>mandalojunagalaxmi.fullstack@gmail.com</t>
  </si>
  <si>
    <t>15.07.2005</t>
  </si>
  <si>
    <t>0223CPIT035</t>
  </si>
  <si>
    <t>MANIKYALA RAMADEVI</t>
  </si>
  <si>
    <t>manikyalaramadevi.fullstack@gmail.com</t>
  </si>
  <si>
    <t>10.07.2005</t>
  </si>
  <si>
    <t>0223CPIT036</t>
  </si>
  <si>
    <t>MASKA PAVANI</t>
  </si>
  <si>
    <t>maskapavani.itesites@gmail.com</t>
  </si>
  <si>
    <t>04.04.2006</t>
  </si>
  <si>
    <t>0223CPIT037</t>
  </si>
  <si>
    <t>MEGHAGNI MUKHERJEE</t>
  </si>
  <si>
    <t>meghagnimukherjee.fullstack@gmail.com</t>
  </si>
  <si>
    <t>14.09.2005</t>
  </si>
  <si>
    <t>0223CPIT038</t>
  </si>
  <si>
    <t>N LAXMI NARASIMHA</t>
  </si>
  <si>
    <t>nlaxminarasimha.fullstack@gmail.com</t>
  </si>
  <si>
    <t>10.06.2005</t>
  </si>
  <si>
    <t>0223CPIT039</t>
  </si>
  <si>
    <t>NANAPURAJ LAHARIKA</t>
  </si>
  <si>
    <t>nanapurajlaharika.itesites@gmail.com</t>
  </si>
  <si>
    <t>15.04.2003</t>
  </si>
  <si>
    <t>0223CPIT040</t>
  </si>
  <si>
    <t>NARRA VENKATA SAI</t>
  </si>
  <si>
    <t>narravenkatasai.itesites@gmail.com</t>
  </si>
  <si>
    <t>02.10.2002</t>
  </si>
  <si>
    <t>0223CPIT041</t>
  </si>
  <si>
    <t>NAVUDU TEJESH</t>
  </si>
  <si>
    <t>navudutejesh.itesites@gmail.com</t>
  </si>
  <si>
    <t>30.11.2005</t>
  </si>
  <si>
    <t>0223CPIT042</t>
  </si>
  <si>
    <t>PALLEY SHRAVANI</t>
  </si>
  <si>
    <t>palleyshravani.itesites@gmail.com</t>
  </si>
  <si>
    <t>0223CPIT043</t>
  </si>
  <si>
    <t>PAPAKANTI RAJU</t>
  </si>
  <si>
    <t>papakantiraju.fullstack@gmail.com</t>
  </si>
  <si>
    <t>02.10.2001</t>
  </si>
  <si>
    <t>0223CPIT044</t>
  </si>
  <si>
    <t>PRATAPAGIRI NEELAKANTA SASTRY</t>
  </si>
  <si>
    <t>pratapagirineelakantasastry.fullstack@gmail.com</t>
  </si>
  <si>
    <t>26.06.1999</t>
  </si>
  <si>
    <t>0223CPIT045</t>
  </si>
  <si>
    <t>PRAVEEN RAJPOOT</t>
  </si>
  <si>
    <t>praveenrajpoot.fullstack@gmail.com</t>
  </si>
  <si>
    <t>04.06.2004</t>
  </si>
  <si>
    <t>0223CPIT046</t>
  </si>
  <si>
    <t>R. VIGNESH</t>
  </si>
  <si>
    <t>rvignesh.itesites@gmail.com</t>
  </si>
  <si>
    <t>13.10.2004</t>
  </si>
  <si>
    <t>0223CPIT047</t>
  </si>
  <si>
    <t>RACHAMANDUGU AJAYKUMAR</t>
  </si>
  <si>
    <t>rachamanduguajaykumar.fullstack@gmail.com</t>
  </si>
  <si>
    <t>09.09.2004</t>
  </si>
  <si>
    <t>0223CPIT048</t>
  </si>
  <si>
    <t>REVALLI NAGESHWARI</t>
  </si>
  <si>
    <t>revallinageshwari.fullstack@gmail.com</t>
  </si>
  <si>
    <t>10.04.2003</t>
  </si>
  <si>
    <t>0223CPIT049</t>
  </si>
  <si>
    <t>ROHIT REDDY</t>
  </si>
  <si>
    <t>rohitreddy.itesites@gmail.com</t>
  </si>
  <si>
    <t>25.12.2005</t>
  </si>
  <si>
    <t>0223CPIT050</t>
  </si>
  <si>
    <t>RUCHI RANJAN</t>
  </si>
  <si>
    <t>ruchiranjan.fullstack@gmail.com</t>
  </si>
  <si>
    <t>02.02.2005</t>
  </si>
  <si>
    <t>0223CPIT051</t>
  </si>
  <si>
    <t>SHAIK FAHAD</t>
  </si>
  <si>
    <t>shaikfahad.itesites@gmail.com</t>
  </si>
  <si>
    <t>13.09.2004</t>
  </si>
  <si>
    <t>0223CPIT052</t>
  </si>
  <si>
    <t>SHAIK SAMEER AHMED</t>
  </si>
  <si>
    <t>shaiksameerahmed.fullstack@gmail.com</t>
  </si>
  <si>
    <t>26.12.2003</t>
  </si>
  <si>
    <t>0223CPIT053</t>
  </si>
  <si>
    <t>SHEJUL BALAJI RAMESHWAR</t>
  </si>
  <si>
    <t>shejulbalajirameshwar.fullstack@gmail.com</t>
  </si>
  <si>
    <t>23.09.2003</t>
  </si>
  <si>
    <t>0223CPIT054</t>
  </si>
  <si>
    <t>SHOAIB AKHTAR</t>
  </si>
  <si>
    <t>shoaibakhtar.fullstack@gmail.com</t>
  </si>
  <si>
    <t>05.06.2004</t>
  </si>
  <si>
    <t>0223CPIT055</t>
  </si>
  <si>
    <t>SINGAM KRISHNA VENI</t>
  </si>
  <si>
    <t>singamkrishnaveni.fullstack@gmail.com</t>
  </si>
  <si>
    <t>06.09.2004</t>
  </si>
  <si>
    <t>0223CPIT056</t>
  </si>
  <si>
    <t>SINGUDASU PALLAVI</t>
  </si>
  <si>
    <t>singudasupallavi.fullstack@gmail.com</t>
  </si>
  <si>
    <t>28.02.2005</t>
  </si>
  <si>
    <t>0223CPIT057</t>
  </si>
  <si>
    <t>SUBHASHIS PAL</t>
  </si>
  <si>
    <t>subhashispal.itesites@gmail.com</t>
  </si>
  <si>
    <t>01.11.2004</t>
  </si>
  <si>
    <t>0223CPIT058</t>
  </si>
  <si>
    <t>SUJEET KUMAR</t>
  </si>
  <si>
    <t>sujeetkumar.fullstack@gmail.com</t>
  </si>
  <si>
    <t>15.08.2005</t>
  </si>
  <si>
    <t>0223CPIT059</t>
  </si>
  <si>
    <t>SURUCHI RANJAN</t>
  </si>
  <si>
    <t>suruchiranjan.fullstack@gmail.com</t>
  </si>
  <si>
    <t>0223CPIT060</t>
  </si>
  <si>
    <t>SUVENDU KHATUA</t>
  </si>
  <si>
    <t>suvendukhatua.itesites@gmail.com</t>
  </si>
  <si>
    <t>02.03.2004</t>
  </si>
  <si>
    <t>0223CPIT061</t>
  </si>
  <si>
    <t>SYED ABDUL HAKEEM</t>
  </si>
  <si>
    <t>syedabdulhakeem.fullstack@gmail.com</t>
  </si>
  <si>
    <t>17.11.2004</t>
  </si>
  <si>
    <t>0223CPIT062</t>
  </si>
  <si>
    <t>SYED ABDUL HALEEM</t>
  </si>
  <si>
    <t>syedabdulhaleem.fullstack@gmail.com</t>
  </si>
  <si>
    <t>0223CPIT063</t>
  </si>
  <si>
    <t>SYED ADIL</t>
  </si>
  <si>
    <t>syedadil.itesites@gmail.com</t>
  </si>
  <si>
    <t>04.01.2006</t>
  </si>
  <si>
    <t>0223CPIT064</t>
  </si>
  <si>
    <t>VELUPULA SUNIL KUMAR</t>
  </si>
  <si>
    <t>velupulasunilkumar.fullstack@gmail.com</t>
  </si>
  <si>
    <t>11.09.2003</t>
  </si>
  <si>
    <t>0223CPIT065</t>
  </si>
  <si>
    <t>BALA CHARY</t>
  </si>
  <si>
    <t>balachary.itesites@gmail.com</t>
  </si>
  <si>
    <t>03.08.2005</t>
  </si>
  <si>
    <t>0223CPIT066</t>
  </si>
  <si>
    <t>BANDARI SRUJANA</t>
  </si>
  <si>
    <t>bandarisrujana.fullstack@gmail.com</t>
  </si>
  <si>
    <t>24.05.2005</t>
  </si>
  <si>
    <t>0223CPIT067</t>
  </si>
  <si>
    <t>DURGA PRASAD</t>
  </si>
  <si>
    <t>durgaprasad.fullstack@gmail.com</t>
  </si>
  <si>
    <t>03.06.2002</t>
  </si>
  <si>
    <t>0223CPIT068</t>
  </si>
  <si>
    <t>K PAVANI</t>
  </si>
  <si>
    <t>kpavani.fullstack@gmail.com</t>
  </si>
  <si>
    <t>05.09.1998</t>
  </si>
  <si>
    <t>0223CPIT069</t>
  </si>
  <si>
    <t>M KOMAL RAJ</t>
  </si>
  <si>
    <t>mkomalraj.itesites@gmail.com</t>
  </si>
  <si>
    <t>0223CPIT070</t>
  </si>
  <si>
    <t>MEDI SANGEETHA</t>
  </si>
  <si>
    <t>medisangeetha.fullstack@gmail.com</t>
  </si>
  <si>
    <t>0223CPIT071</t>
  </si>
  <si>
    <t>N.PARAMESH</t>
  </si>
  <si>
    <t>nparamesh.fullstack@gmail.com</t>
  </si>
  <si>
    <t>07.06.2004</t>
  </si>
  <si>
    <t>0223CPIT072</t>
  </si>
  <si>
    <t>NAGA CHANDU V</t>
  </si>
  <si>
    <t>nagachanduv.itesites@gmail.com</t>
  </si>
  <si>
    <t>26.05.2002</t>
  </si>
  <si>
    <t>0223CPIT073</t>
  </si>
  <si>
    <t>S SAMEER</t>
  </si>
  <si>
    <t>ssameer.fullstack@gmail.com</t>
  </si>
  <si>
    <t>05.08.2004</t>
  </si>
  <si>
    <t>0223CPIT074</t>
  </si>
  <si>
    <t>SALVADI VENKATESH</t>
  </si>
  <si>
    <t>salvadivenkatesh.itesites@gmail.com</t>
  </si>
  <si>
    <t>04.04.2002</t>
  </si>
  <si>
    <t>0223CPIT075</t>
  </si>
  <si>
    <t>UPPUNUTHALA PURUSHOTHAM</t>
  </si>
  <si>
    <t>uppunuthalapurushotham.itesites@gmail.com</t>
  </si>
  <si>
    <t>22.09.2006</t>
  </si>
  <si>
    <t>0223CPIT076</t>
  </si>
  <si>
    <t xml:space="preserve">VINAY KUMAR </t>
  </si>
  <si>
    <t>vinaykumar.fullstack@gmail.com</t>
  </si>
  <si>
    <t>01.01.2000</t>
  </si>
  <si>
    <t>0223CPIT077</t>
  </si>
  <si>
    <t>YARRA NAVYA SAHITHI</t>
  </si>
  <si>
    <t>yarranavyasahithi.fullstack@gmail.com</t>
  </si>
  <si>
    <t>10.10.2002</t>
  </si>
  <si>
    <t>0223CPIT078</t>
  </si>
  <si>
    <t>M. Aravind</t>
  </si>
  <si>
    <t>maravind.fullstack@gmail.com</t>
  </si>
  <si>
    <t>0223CPIT079</t>
  </si>
  <si>
    <t>Surya Kiran</t>
  </si>
  <si>
    <t>suryakiran.fullstack@gmail.com</t>
  </si>
  <si>
    <t>0223CPIT080</t>
  </si>
  <si>
    <t>B Aravind</t>
  </si>
  <si>
    <t>baravind.fullstack@gmail.com</t>
  </si>
  <si>
    <t>Total</t>
  </si>
  <si>
    <t>Prasent</t>
  </si>
  <si>
    <t>Absent</t>
  </si>
  <si>
    <t>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</si>
</sst>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3" fillId="0" borderId="1" xfId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4" fontId="5" fillId="0" borderId="1" xfId="0" applyNumberFormat="1" applyFont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0" borderId="1" xfId="0" applyBorder="1" applyAlignment="1"/>
    <xf numFmtId="0" fontId="0" fillId="0" borderId="1" xfId="0" applyBorder="1"/>
    <xf numFmtId="0" fontId="0" fillId="5" borderId="0" xfId="0" applyFill="1"/>
    <xf numFmtId="0" fontId="0" fillId="5" borderId="0" xfId="0" applyFill="1" applyBorder="1"/>
    <xf numFmtId="0" fontId="4" fillId="5" borderId="0" xfId="0" applyFont="1" applyFill="1" applyBorder="1" applyAlignment="1">
      <alignment horizontal="left" vertical="center"/>
    </xf>
    <xf numFmtId="0" fontId="4" fillId="5" borderId="0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D6F1E-CA7A-48F4-8421-1DF201F266AF}">
  <dimension ref="A1:AI8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" sqref="C1:G1"/>
    </sheetView>
  </sheetViews>
  <sheetFormatPr defaultRowHeight="14.5" x14ac:dyDescent="0.35"/>
  <cols>
    <col min="1" max="1" width="5" bestFit="1" customWidth="1"/>
    <col min="2" max="2" width="7.08984375" bestFit="1" customWidth="1"/>
    <col min="3" max="3" width="18.90625" bestFit="1" customWidth="1"/>
    <col min="4" max="4" width="30.26953125" bestFit="1" customWidth="1"/>
    <col min="5" max="5" width="13.453125" bestFit="1" customWidth="1"/>
    <col min="6" max="6" width="10.81640625" bestFit="1" customWidth="1"/>
    <col min="7" max="7" width="42.453125" bestFit="1" customWidth="1"/>
    <col min="8" max="8" width="7.54296875" bestFit="1" customWidth="1"/>
    <col min="9" max="9" width="30.26953125" bestFit="1" customWidth="1"/>
    <col min="10" max="10" width="17.36328125" bestFit="1" customWidth="1"/>
    <col min="11" max="11" width="10.6328125" bestFit="1" customWidth="1"/>
    <col min="12" max="12" width="7.26953125" bestFit="1" customWidth="1"/>
    <col min="13" max="13" width="4.7265625" bestFit="1" customWidth="1"/>
    <col min="14" max="14" width="3.90625" bestFit="1" customWidth="1"/>
    <col min="15" max="15" width="4.7265625" bestFit="1" customWidth="1"/>
    <col min="16" max="16" width="4" bestFit="1" customWidth="1"/>
    <col min="17" max="17" width="2.90625" bestFit="1" customWidth="1"/>
    <col min="18" max="18" width="4.7265625" bestFit="1" customWidth="1"/>
    <col min="19" max="19" width="3.90625" bestFit="1" customWidth="1"/>
    <col min="20" max="20" width="4.7265625" bestFit="1" customWidth="1"/>
    <col min="21" max="21" width="4" bestFit="1" customWidth="1"/>
    <col min="22" max="22" width="2.90625" bestFit="1" customWidth="1"/>
    <col min="23" max="23" width="4.7265625" bestFit="1" customWidth="1"/>
    <col min="24" max="24" width="3.90625" bestFit="1" customWidth="1"/>
    <col min="25" max="25" width="4.7265625" bestFit="1" customWidth="1"/>
    <col min="26" max="26" width="4" bestFit="1" customWidth="1"/>
    <col min="27" max="27" width="2.90625" bestFit="1" customWidth="1"/>
    <col min="28" max="28" width="4.7265625" bestFit="1" customWidth="1"/>
    <col min="29" max="29" width="3.90625" bestFit="1" customWidth="1"/>
    <col min="30" max="30" width="4.7265625" bestFit="1" customWidth="1"/>
    <col min="31" max="31" width="4" bestFit="1" customWidth="1"/>
    <col min="32" max="32" width="2.90625" bestFit="1" customWidth="1"/>
    <col min="33" max="33" width="4.7265625" bestFit="1" customWidth="1"/>
    <col min="34" max="34" width="3.90625" bestFit="1" customWidth="1"/>
    <col min="35" max="35" width="4.7265625" bestFit="1" customWidth="1"/>
  </cols>
  <sheetData>
    <row r="1" spans="1:35" ht="15.5" x14ac:dyDescent="0.35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4" t="s">
        <v>9</v>
      </c>
      <c r="K1" s="5" t="s">
        <v>10</v>
      </c>
      <c r="L1" s="5" t="s">
        <v>11</v>
      </c>
      <c r="M1" s="6">
        <v>1</v>
      </c>
      <c r="N1" s="6">
        <v>2</v>
      </c>
      <c r="O1" s="6">
        <v>3</v>
      </c>
      <c r="P1" s="6">
        <v>4</v>
      </c>
      <c r="Q1" s="6">
        <v>5</v>
      </c>
      <c r="R1" s="6">
        <v>8</v>
      </c>
      <c r="S1" s="6">
        <v>9</v>
      </c>
      <c r="T1" s="6">
        <v>10</v>
      </c>
      <c r="U1" s="6">
        <v>11</v>
      </c>
      <c r="V1" s="6">
        <v>12</v>
      </c>
      <c r="W1" s="6">
        <v>15</v>
      </c>
      <c r="X1" s="6">
        <v>16</v>
      </c>
      <c r="Y1" s="6">
        <v>17</v>
      </c>
      <c r="Z1" s="6">
        <v>18</v>
      </c>
      <c r="AA1" s="6">
        <v>19</v>
      </c>
      <c r="AB1" s="6">
        <v>22</v>
      </c>
      <c r="AC1" s="6">
        <v>23</v>
      </c>
      <c r="AD1" s="6">
        <v>24</v>
      </c>
      <c r="AE1" s="6">
        <v>25</v>
      </c>
      <c r="AF1" s="6">
        <v>26</v>
      </c>
      <c r="AG1" s="6">
        <v>29</v>
      </c>
      <c r="AH1" s="6">
        <v>30</v>
      </c>
      <c r="AI1" s="6">
        <v>31</v>
      </c>
    </row>
    <row r="2" spans="1:35" x14ac:dyDescent="0.35">
      <c r="A2" s="7">
        <v>1</v>
      </c>
      <c r="B2" s="8">
        <v>1</v>
      </c>
      <c r="C2" s="8" t="s">
        <v>12</v>
      </c>
      <c r="D2" s="9" t="s">
        <v>13</v>
      </c>
      <c r="E2" s="9" t="s">
        <v>14</v>
      </c>
      <c r="F2" s="8">
        <v>6399221384</v>
      </c>
      <c r="G2" s="10" t="s">
        <v>15</v>
      </c>
      <c r="H2" s="9" t="s">
        <v>16</v>
      </c>
      <c r="I2" s="11" t="str">
        <f>D2</f>
        <v>NIKITHA ADULA</v>
      </c>
      <c r="J2" s="8">
        <v>2120339506</v>
      </c>
      <c r="K2" s="9" t="s">
        <v>17</v>
      </c>
      <c r="L2" s="9">
        <v>18</v>
      </c>
      <c r="M2" s="8" t="s">
        <v>18</v>
      </c>
      <c r="N2" s="8" t="s">
        <v>18</v>
      </c>
      <c r="O2" s="8" t="s">
        <v>19</v>
      </c>
      <c r="P2" s="8" t="s">
        <v>18</v>
      </c>
      <c r="Q2" s="8" t="s">
        <v>18</v>
      </c>
      <c r="R2" s="8" t="s">
        <v>18</v>
      </c>
      <c r="S2" s="8" t="s">
        <v>18</v>
      </c>
      <c r="T2" s="8" t="s">
        <v>18</v>
      </c>
      <c r="U2" s="8" t="s">
        <v>19</v>
      </c>
      <c r="V2" s="8" t="s">
        <v>18</v>
      </c>
      <c r="W2" s="8" t="s">
        <v>18</v>
      </c>
      <c r="X2" s="8" t="s">
        <v>19</v>
      </c>
      <c r="Y2" s="8" t="s">
        <v>18</v>
      </c>
      <c r="Z2" s="8" t="s">
        <v>18</v>
      </c>
      <c r="AA2" s="8" t="s">
        <v>18</v>
      </c>
      <c r="AB2" s="8" t="s">
        <v>18</v>
      </c>
      <c r="AC2" s="8" t="s">
        <v>18</v>
      </c>
      <c r="AD2" s="8" t="s">
        <v>18</v>
      </c>
      <c r="AE2" s="8" t="s">
        <v>18</v>
      </c>
      <c r="AF2" s="8" t="s">
        <v>18</v>
      </c>
      <c r="AG2" s="8" t="s">
        <v>20</v>
      </c>
      <c r="AH2" s="8" t="s">
        <v>18</v>
      </c>
      <c r="AI2" s="8" t="s">
        <v>18</v>
      </c>
    </row>
    <row r="3" spans="1:35" x14ac:dyDescent="0.35">
      <c r="A3" s="7">
        <v>2</v>
      </c>
      <c r="B3" s="8">
        <v>1</v>
      </c>
      <c r="C3" s="8" t="s">
        <v>21</v>
      </c>
      <c r="D3" s="9" t="s">
        <v>22</v>
      </c>
      <c r="E3" s="9" t="s">
        <v>23</v>
      </c>
      <c r="F3" s="8">
        <v>8732960724</v>
      </c>
      <c r="G3" s="10" t="s">
        <v>24</v>
      </c>
      <c r="H3" s="9" t="s">
        <v>16</v>
      </c>
      <c r="I3" s="11" t="str">
        <f t="shared" ref="I3:I66" si="0">D3</f>
        <v>ADULA LIKHITHA</v>
      </c>
      <c r="J3" s="8">
        <v>2573691990</v>
      </c>
      <c r="K3" s="9" t="s">
        <v>25</v>
      </c>
      <c r="L3" s="9">
        <v>21</v>
      </c>
      <c r="M3" s="8" t="s">
        <v>18</v>
      </c>
      <c r="N3" s="8" t="str">
        <f ca="1">CHOOSE(RANDBETWEEN(1,3),"P","A","L")</f>
        <v>A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 t="s">
        <v>18</v>
      </c>
      <c r="AF3" s="8" t="s">
        <v>18</v>
      </c>
      <c r="AG3" s="8" t="s">
        <v>20</v>
      </c>
      <c r="AH3" s="8" t="s">
        <v>19</v>
      </c>
      <c r="AI3" s="8" t="s">
        <v>20</v>
      </c>
    </row>
    <row r="4" spans="1:35" x14ac:dyDescent="0.35">
      <c r="A4" s="7">
        <v>3</v>
      </c>
      <c r="B4" s="8">
        <v>3</v>
      </c>
      <c r="C4" s="8" t="s">
        <v>26</v>
      </c>
      <c r="D4" s="9" t="s">
        <v>27</v>
      </c>
      <c r="E4" s="9" t="s">
        <v>23</v>
      </c>
      <c r="F4" s="8">
        <v>3928683138</v>
      </c>
      <c r="G4" s="10" t="s">
        <v>28</v>
      </c>
      <c r="H4" s="9" t="s">
        <v>29</v>
      </c>
      <c r="I4" s="11" t="str">
        <f t="shared" si="0"/>
        <v>AKASH RAJPOOT</v>
      </c>
      <c r="J4" s="8">
        <v>8436624675</v>
      </c>
      <c r="K4" s="9" t="s">
        <v>30</v>
      </c>
      <c r="L4" s="9">
        <v>19</v>
      </c>
      <c r="M4" s="8" t="s">
        <v>18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spans="1:35" x14ac:dyDescent="0.35">
      <c r="A5" s="7">
        <v>4</v>
      </c>
      <c r="B5" s="8">
        <v>3</v>
      </c>
      <c r="C5" s="8" t="s">
        <v>31</v>
      </c>
      <c r="D5" s="9" t="s">
        <v>32</v>
      </c>
      <c r="E5" s="9" t="s">
        <v>23</v>
      </c>
      <c r="F5" s="8">
        <v>6302977515</v>
      </c>
      <c r="G5" s="10" t="s">
        <v>33</v>
      </c>
      <c r="H5" s="9" t="s">
        <v>29</v>
      </c>
      <c r="I5" s="11" t="str">
        <f t="shared" si="0"/>
        <v>ALOK KUMAR</v>
      </c>
      <c r="J5" s="8">
        <v>2124694089</v>
      </c>
      <c r="K5" s="9" t="s">
        <v>34</v>
      </c>
      <c r="L5" s="9">
        <v>19</v>
      </c>
      <c r="M5" s="8" t="s">
        <v>18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spans="1:35" x14ac:dyDescent="0.35">
      <c r="A6" s="7">
        <v>5</v>
      </c>
      <c r="B6" s="8">
        <v>1</v>
      </c>
      <c r="C6" s="8" t="s">
        <v>35</v>
      </c>
      <c r="D6" s="9" t="s">
        <v>36</v>
      </c>
      <c r="E6" s="9" t="s">
        <v>23</v>
      </c>
      <c r="F6" s="8">
        <v>3285643454</v>
      </c>
      <c r="G6" s="10" t="s">
        <v>37</v>
      </c>
      <c r="H6" s="9" t="s">
        <v>29</v>
      </c>
      <c r="I6" s="11" t="str">
        <f t="shared" si="0"/>
        <v>AYUSHMAN SINGH BAGHEL</v>
      </c>
      <c r="J6" s="8">
        <v>6858212965</v>
      </c>
      <c r="K6" s="9" t="s">
        <v>38</v>
      </c>
      <c r="L6" s="9">
        <v>18</v>
      </c>
      <c r="M6" s="8" t="s">
        <v>19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spans="1:35" x14ac:dyDescent="0.35">
      <c r="A7" s="7">
        <v>6</v>
      </c>
      <c r="B7" s="8">
        <v>3</v>
      </c>
      <c r="C7" s="8" t="s">
        <v>39</v>
      </c>
      <c r="D7" s="9" t="s">
        <v>40</v>
      </c>
      <c r="E7" s="9" t="s">
        <v>14</v>
      </c>
      <c r="F7" s="8">
        <v>6204804746</v>
      </c>
      <c r="G7" s="10" t="s">
        <v>41</v>
      </c>
      <c r="H7" s="9" t="s">
        <v>29</v>
      </c>
      <c r="I7" s="11" t="str">
        <f t="shared" si="0"/>
        <v>B SANDEEP ROY</v>
      </c>
      <c r="J7" s="8">
        <v>1456755625</v>
      </c>
      <c r="K7" s="9" t="s">
        <v>42</v>
      </c>
      <c r="L7" s="9">
        <v>25</v>
      </c>
      <c r="M7" s="8" t="s">
        <v>18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spans="1:35" x14ac:dyDescent="0.35">
      <c r="A8" s="7">
        <v>7</v>
      </c>
      <c r="B8" s="8">
        <v>3</v>
      </c>
      <c r="C8" s="8" t="s">
        <v>43</v>
      </c>
      <c r="D8" s="9" t="s">
        <v>44</v>
      </c>
      <c r="E8" s="9" t="s">
        <v>23</v>
      </c>
      <c r="F8" s="8">
        <v>8402592334</v>
      </c>
      <c r="G8" s="10" t="s">
        <v>45</v>
      </c>
      <c r="H8" s="9" t="s">
        <v>29</v>
      </c>
      <c r="I8" s="11" t="str">
        <f t="shared" si="0"/>
        <v>B. SRINIVASULU</v>
      </c>
      <c r="J8" s="8">
        <v>1716014472</v>
      </c>
      <c r="K8" s="9" t="s">
        <v>46</v>
      </c>
      <c r="L8" s="9">
        <v>18</v>
      </c>
      <c r="M8" s="8" t="s">
        <v>18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spans="1:35" x14ac:dyDescent="0.35">
      <c r="A9" s="7">
        <v>8</v>
      </c>
      <c r="B9" s="8">
        <v>1</v>
      </c>
      <c r="C9" s="8" t="s">
        <v>47</v>
      </c>
      <c r="D9" s="9" t="s">
        <v>48</v>
      </c>
      <c r="E9" s="9" t="s">
        <v>23</v>
      </c>
      <c r="F9" s="8">
        <v>1770577932</v>
      </c>
      <c r="G9" s="10" t="s">
        <v>49</v>
      </c>
      <c r="H9" s="9" t="s">
        <v>29</v>
      </c>
      <c r="I9" s="11" t="str">
        <f t="shared" si="0"/>
        <v>BAIRI PRATHYUSH</v>
      </c>
      <c r="J9" s="8">
        <v>2915576343</v>
      </c>
      <c r="K9" s="9" t="s">
        <v>50</v>
      </c>
      <c r="L9" s="9">
        <v>21</v>
      </c>
      <c r="M9" s="8" t="s">
        <v>18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spans="1:35" x14ac:dyDescent="0.35">
      <c r="A10" s="7">
        <v>9</v>
      </c>
      <c r="B10" s="8">
        <v>1</v>
      </c>
      <c r="C10" s="8" t="s">
        <v>51</v>
      </c>
      <c r="D10" s="9" t="s">
        <v>52</v>
      </c>
      <c r="E10" s="9" t="s">
        <v>14</v>
      </c>
      <c r="F10" s="8">
        <v>1087593685</v>
      </c>
      <c r="G10" s="10" t="s">
        <v>53</v>
      </c>
      <c r="H10" s="9" t="s">
        <v>16</v>
      </c>
      <c r="I10" s="11" t="str">
        <f t="shared" si="0"/>
        <v>BANDAPALLI GANGABHAVANI</v>
      </c>
      <c r="J10" s="8">
        <v>7625492200</v>
      </c>
      <c r="K10" s="9" t="s">
        <v>54</v>
      </c>
      <c r="L10" s="9">
        <v>22</v>
      </c>
      <c r="M10" s="8" t="s">
        <v>19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1:35" x14ac:dyDescent="0.35">
      <c r="A11" s="7">
        <v>10</v>
      </c>
      <c r="B11" s="8">
        <v>2</v>
      </c>
      <c r="C11" s="8" t="s">
        <v>55</v>
      </c>
      <c r="D11" s="9" t="s">
        <v>56</v>
      </c>
      <c r="E11" s="9" t="s">
        <v>23</v>
      </c>
      <c r="F11" s="8">
        <v>1693682470</v>
      </c>
      <c r="G11" s="10" t="s">
        <v>57</v>
      </c>
      <c r="H11" s="9" t="s">
        <v>16</v>
      </c>
      <c r="I11" s="11" t="str">
        <f t="shared" si="0"/>
        <v>BURRI VINITHA</v>
      </c>
      <c r="J11" s="8">
        <v>5262777453</v>
      </c>
      <c r="K11" s="9" t="s">
        <v>58</v>
      </c>
      <c r="L11" s="9">
        <v>19</v>
      </c>
      <c r="M11" s="8" t="s">
        <v>18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spans="1:35" x14ac:dyDescent="0.35">
      <c r="A12" s="7">
        <v>11</v>
      </c>
      <c r="B12" s="8">
        <v>2</v>
      </c>
      <c r="C12" s="8" t="s">
        <v>59</v>
      </c>
      <c r="D12" s="9" t="s">
        <v>60</v>
      </c>
      <c r="E12" s="9" t="s">
        <v>23</v>
      </c>
      <c r="F12" s="8">
        <v>1821308586</v>
      </c>
      <c r="G12" s="10" t="s">
        <v>61</v>
      </c>
      <c r="H12" s="9" t="s">
        <v>29</v>
      </c>
      <c r="I12" s="11" t="str">
        <f t="shared" si="0"/>
        <v>CHANDRA SAMPATH KUMAR</v>
      </c>
      <c r="J12" s="8">
        <v>3313353085</v>
      </c>
      <c r="K12" s="9" t="s">
        <v>62</v>
      </c>
      <c r="L12" s="9">
        <v>21</v>
      </c>
      <c r="M12" s="8" t="s">
        <v>18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spans="1:35" x14ac:dyDescent="0.35">
      <c r="A13" s="7">
        <v>12</v>
      </c>
      <c r="B13" s="8">
        <v>1</v>
      </c>
      <c r="C13" s="8" t="s">
        <v>63</v>
      </c>
      <c r="D13" s="9" t="s">
        <v>64</v>
      </c>
      <c r="E13" s="9" t="s">
        <v>23</v>
      </c>
      <c r="F13" s="8">
        <v>1683546545</v>
      </c>
      <c r="G13" s="10" t="s">
        <v>65</v>
      </c>
      <c r="H13" s="9" t="s">
        <v>29</v>
      </c>
      <c r="I13" s="11" t="str">
        <f t="shared" si="0"/>
        <v>CHINNAKOTLA SURYA TEJA</v>
      </c>
      <c r="J13" s="8">
        <v>6225939300</v>
      </c>
      <c r="K13" s="9" t="s">
        <v>66</v>
      </c>
      <c r="L13" s="9">
        <v>22</v>
      </c>
      <c r="M13" s="8" t="s">
        <v>18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spans="1:35" x14ac:dyDescent="0.35">
      <c r="A14" s="7">
        <v>13</v>
      </c>
      <c r="B14" s="8">
        <v>3</v>
      </c>
      <c r="C14" s="8" t="s">
        <v>67</v>
      </c>
      <c r="D14" s="9" t="s">
        <v>68</v>
      </c>
      <c r="E14" s="9" t="s">
        <v>23</v>
      </c>
      <c r="F14" s="8">
        <v>5506439807</v>
      </c>
      <c r="G14" s="10" t="s">
        <v>69</v>
      </c>
      <c r="H14" s="9" t="s">
        <v>16</v>
      </c>
      <c r="I14" s="11" t="str">
        <f t="shared" si="0"/>
        <v>DASARI VIMALA</v>
      </c>
      <c r="J14" s="8">
        <v>5760440421</v>
      </c>
      <c r="K14" s="9" t="s">
        <v>70</v>
      </c>
      <c r="L14" s="9">
        <v>20</v>
      </c>
      <c r="M14" s="8" t="s">
        <v>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spans="1:35" x14ac:dyDescent="0.35">
      <c r="A15" s="7">
        <v>14</v>
      </c>
      <c r="B15" s="8">
        <v>1</v>
      </c>
      <c r="C15" s="8" t="s">
        <v>71</v>
      </c>
      <c r="D15" s="9" t="s">
        <v>72</v>
      </c>
      <c r="E15" s="9" t="s">
        <v>14</v>
      </c>
      <c r="F15" s="8">
        <v>3565997600</v>
      </c>
      <c r="G15" s="10" t="s">
        <v>73</v>
      </c>
      <c r="H15" s="9" t="s">
        <v>29</v>
      </c>
      <c r="I15" s="11" t="str">
        <f t="shared" si="0"/>
        <v>DEVALLA DEEPAK</v>
      </c>
      <c r="J15" s="8">
        <v>8490923938</v>
      </c>
      <c r="K15" s="9" t="s">
        <v>74</v>
      </c>
      <c r="L15" s="9">
        <v>17</v>
      </c>
      <c r="M15" s="8" t="s">
        <v>18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spans="1:35" x14ac:dyDescent="0.35">
      <c r="A16" s="7">
        <v>15</v>
      </c>
      <c r="B16" s="8">
        <v>2</v>
      </c>
      <c r="C16" s="8" t="s">
        <v>75</v>
      </c>
      <c r="D16" s="9" t="s">
        <v>76</v>
      </c>
      <c r="E16" s="9" t="s">
        <v>23</v>
      </c>
      <c r="F16" s="8">
        <v>2685014153</v>
      </c>
      <c r="G16" s="10" t="s">
        <v>77</v>
      </c>
      <c r="H16" s="9" t="s">
        <v>16</v>
      </c>
      <c r="I16" s="11" t="str">
        <f t="shared" si="0"/>
        <v>DEVKATHE KOMAL</v>
      </c>
      <c r="J16" s="8">
        <v>7776371742</v>
      </c>
      <c r="K16" s="9" t="s">
        <v>78</v>
      </c>
      <c r="L16" s="9">
        <v>20</v>
      </c>
      <c r="M16" s="8" t="s">
        <v>18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spans="1:35" x14ac:dyDescent="0.35">
      <c r="A17" s="7">
        <v>16</v>
      </c>
      <c r="B17" s="8">
        <v>3</v>
      </c>
      <c r="C17" s="8" t="s">
        <v>79</v>
      </c>
      <c r="D17" s="9" t="s">
        <v>80</v>
      </c>
      <c r="E17" s="9" t="s">
        <v>23</v>
      </c>
      <c r="F17" s="8">
        <v>8144007188</v>
      </c>
      <c r="G17" s="10" t="s">
        <v>81</v>
      </c>
      <c r="H17" s="9" t="s">
        <v>29</v>
      </c>
      <c r="I17" s="11" t="str">
        <f t="shared" si="0"/>
        <v>EERAMMAGARI RAVITEJA</v>
      </c>
      <c r="J17" s="8">
        <v>4110668493</v>
      </c>
      <c r="K17" s="9" t="s">
        <v>82</v>
      </c>
      <c r="L17" s="9">
        <v>18</v>
      </c>
      <c r="M17" s="8" t="s">
        <v>19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spans="1:35" x14ac:dyDescent="0.35">
      <c r="A18" s="7">
        <v>17</v>
      </c>
      <c r="B18" s="8">
        <v>1</v>
      </c>
      <c r="C18" s="8" t="s">
        <v>83</v>
      </c>
      <c r="D18" s="9" t="s">
        <v>84</v>
      </c>
      <c r="E18" s="9" t="s">
        <v>14</v>
      </c>
      <c r="F18" s="8">
        <v>5451418853</v>
      </c>
      <c r="G18" s="10" t="s">
        <v>85</v>
      </c>
      <c r="H18" s="9" t="s">
        <v>16</v>
      </c>
      <c r="I18" s="11" t="str">
        <f t="shared" si="0"/>
        <v>ELLENDULA SUPRIYA</v>
      </c>
      <c r="J18" s="8">
        <v>2801450939</v>
      </c>
      <c r="K18" s="9" t="s">
        <v>86</v>
      </c>
      <c r="L18" s="9">
        <v>20</v>
      </c>
      <c r="M18" s="8" t="s">
        <v>20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spans="1:35" x14ac:dyDescent="0.35">
      <c r="A19" s="7">
        <v>18</v>
      </c>
      <c r="B19" s="8">
        <v>3</v>
      </c>
      <c r="C19" s="8" t="s">
        <v>87</v>
      </c>
      <c r="D19" s="9" t="s">
        <v>88</v>
      </c>
      <c r="E19" s="9" t="s">
        <v>23</v>
      </c>
      <c r="F19" s="8">
        <v>2352093828</v>
      </c>
      <c r="G19" s="10" t="s">
        <v>89</v>
      </c>
      <c r="H19" s="9" t="s">
        <v>16</v>
      </c>
      <c r="I19" s="11" t="str">
        <f t="shared" si="0"/>
        <v>GADIYARAM VARSHA</v>
      </c>
      <c r="J19" s="8">
        <v>3986948366</v>
      </c>
      <c r="K19" s="9" t="s">
        <v>90</v>
      </c>
      <c r="L19" s="9">
        <v>17</v>
      </c>
      <c r="M19" s="8" t="s">
        <v>18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spans="1:35" x14ac:dyDescent="0.35">
      <c r="A20" s="7">
        <v>19</v>
      </c>
      <c r="B20" s="8">
        <v>2</v>
      </c>
      <c r="C20" s="8" t="s">
        <v>91</v>
      </c>
      <c r="D20" s="9" t="s">
        <v>92</v>
      </c>
      <c r="E20" s="9" t="s">
        <v>23</v>
      </c>
      <c r="F20" s="8">
        <v>4851546652</v>
      </c>
      <c r="G20" s="10" t="s">
        <v>93</v>
      </c>
      <c r="H20" s="9" t="s">
        <v>16</v>
      </c>
      <c r="I20" s="11" t="str">
        <f t="shared" si="0"/>
        <v>GAIKWAD SRUSHTI</v>
      </c>
      <c r="J20" s="8">
        <v>5137188101</v>
      </c>
      <c r="K20" s="9" t="s">
        <v>94</v>
      </c>
      <c r="L20" s="9">
        <v>20</v>
      </c>
      <c r="M20" s="8" t="s">
        <v>20</v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spans="1:35" x14ac:dyDescent="0.35">
      <c r="A21" s="7">
        <v>20</v>
      </c>
      <c r="B21" s="8">
        <v>2</v>
      </c>
      <c r="C21" s="8" t="s">
        <v>95</v>
      </c>
      <c r="D21" s="9" t="s">
        <v>96</v>
      </c>
      <c r="E21" s="9" t="s">
        <v>14</v>
      </c>
      <c r="F21" s="8">
        <v>6604423032</v>
      </c>
      <c r="G21" s="10" t="s">
        <v>97</v>
      </c>
      <c r="H21" s="9" t="s">
        <v>29</v>
      </c>
      <c r="I21" s="11" t="str">
        <f t="shared" si="0"/>
        <v>GAJJELA GIRI</v>
      </c>
      <c r="J21" s="8">
        <v>6351278699</v>
      </c>
      <c r="K21" s="9" t="s">
        <v>98</v>
      </c>
      <c r="L21" s="9">
        <v>17</v>
      </c>
      <c r="M21" s="8" t="s">
        <v>18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spans="1:35" x14ac:dyDescent="0.35">
      <c r="A22" s="7">
        <v>21</v>
      </c>
      <c r="B22" s="8">
        <v>2</v>
      </c>
      <c r="C22" s="8" t="s">
        <v>99</v>
      </c>
      <c r="D22" s="9" t="s">
        <v>100</v>
      </c>
      <c r="E22" s="9" t="s">
        <v>14</v>
      </c>
      <c r="F22" s="8">
        <v>4267924443</v>
      </c>
      <c r="G22" s="10" t="s">
        <v>101</v>
      </c>
      <c r="H22" s="9" t="s">
        <v>16</v>
      </c>
      <c r="I22" s="11" t="str">
        <f t="shared" si="0"/>
        <v>GARAPATI GAYATHRI</v>
      </c>
      <c r="J22" s="8">
        <v>1117078113</v>
      </c>
      <c r="K22" s="9" t="s">
        <v>102</v>
      </c>
      <c r="L22" s="9">
        <v>21</v>
      </c>
      <c r="M22" s="8" t="s">
        <v>18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spans="1:35" x14ac:dyDescent="0.35">
      <c r="A23" s="7">
        <v>22</v>
      </c>
      <c r="B23" s="8">
        <v>2</v>
      </c>
      <c r="C23" s="8" t="s">
        <v>103</v>
      </c>
      <c r="D23" s="9" t="s">
        <v>104</v>
      </c>
      <c r="E23" s="9" t="s">
        <v>23</v>
      </c>
      <c r="F23" s="8">
        <v>2776428499</v>
      </c>
      <c r="G23" s="10" t="s">
        <v>105</v>
      </c>
      <c r="H23" s="9" t="s">
        <v>29</v>
      </c>
      <c r="I23" s="11" t="str">
        <f t="shared" si="0"/>
        <v>GOLI SAI LOKESH</v>
      </c>
      <c r="J23" s="8">
        <v>4237487936</v>
      </c>
      <c r="K23" s="9" t="s">
        <v>106</v>
      </c>
      <c r="L23" s="9">
        <v>20</v>
      </c>
      <c r="M23" s="8" t="s">
        <v>19</v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spans="1:35" x14ac:dyDescent="0.35">
      <c r="A24" s="7">
        <v>23</v>
      </c>
      <c r="B24" s="8">
        <v>3</v>
      </c>
      <c r="C24" s="8" t="s">
        <v>107</v>
      </c>
      <c r="D24" s="9" t="s">
        <v>108</v>
      </c>
      <c r="E24" s="9" t="s">
        <v>23</v>
      </c>
      <c r="F24" s="8">
        <v>2344591250</v>
      </c>
      <c r="G24" s="10" t="s">
        <v>109</v>
      </c>
      <c r="H24" s="9" t="s">
        <v>16</v>
      </c>
      <c r="I24" s="11" t="str">
        <f t="shared" si="0"/>
        <v>GURRAM YAMINI</v>
      </c>
      <c r="J24" s="8">
        <v>6333677229</v>
      </c>
      <c r="K24" s="9" t="s">
        <v>110</v>
      </c>
      <c r="L24" s="9">
        <v>21</v>
      </c>
      <c r="M24" s="8" t="s">
        <v>18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spans="1:35" x14ac:dyDescent="0.35">
      <c r="A25" s="7">
        <v>24</v>
      </c>
      <c r="B25" s="8">
        <v>1</v>
      </c>
      <c r="C25" s="8" t="s">
        <v>111</v>
      </c>
      <c r="D25" s="9" t="s">
        <v>112</v>
      </c>
      <c r="E25" s="9" t="s">
        <v>23</v>
      </c>
      <c r="F25" s="8">
        <v>4564000793</v>
      </c>
      <c r="G25" s="10" t="s">
        <v>113</v>
      </c>
      <c r="H25" s="9" t="s">
        <v>29</v>
      </c>
      <c r="I25" s="11" t="str">
        <f t="shared" si="0"/>
        <v>HARI OM RAI</v>
      </c>
      <c r="J25" s="8">
        <v>1992483996</v>
      </c>
      <c r="K25" s="9" t="s">
        <v>114</v>
      </c>
      <c r="L25" s="9">
        <v>18</v>
      </c>
      <c r="M25" s="8" t="s">
        <v>19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spans="1:35" x14ac:dyDescent="0.35">
      <c r="A26" s="7">
        <v>25</v>
      </c>
      <c r="B26" s="8">
        <v>1</v>
      </c>
      <c r="C26" s="8" t="s">
        <v>115</v>
      </c>
      <c r="D26" s="9" t="s">
        <v>116</v>
      </c>
      <c r="E26" s="9" t="s">
        <v>23</v>
      </c>
      <c r="F26" s="8">
        <v>7831800139</v>
      </c>
      <c r="G26" s="10" t="s">
        <v>117</v>
      </c>
      <c r="H26" s="9" t="s">
        <v>29</v>
      </c>
      <c r="I26" s="11" t="str">
        <f t="shared" si="0"/>
        <v>JADHAV YOGESH DHARAMSIGH</v>
      </c>
      <c r="J26" s="8">
        <v>7002671776</v>
      </c>
      <c r="K26" s="9" t="s">
        <v>118</v>
      </c>
      <c r="L26" s="9">
        <v>19</v>
      </c>
      <c r="M26" s="8" t="s">
        <v>20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spans="1:35" x14ac:dyDescent="0.35">
      <c r="A27" s="7">
        <v>26</v>
      </c>
      <c r="B27" s="8">
        <v>1</v>
      </c>
      <c r="C27" s="8" t="s">
        <v>119</v>
      </c>
      <c r="D27" s="9" t="s">
        <v>120</v>
      </c>
      <c r="E27" s="9" t="s">
        <v>23</v>
      </c>
      <c r="F27" s="8">
        <v>1359937879</v>
      </c>
      <c r="G27" s="10" t="s">
        <v>121</v>
      </c>
      <c r="H27" s="9" t="s">
        <v>16</v>
      </c>
      <c r="I27" s="11" t="str">
        <f t="shared" si="0"/>
        <v>K. SANTOSHI</v>
      </c>
      <c r="J27" s="8">
        <v>4827283289</v>
      </c>
      <c r="K27" s="9" t="s">
        <v>122</v>
      </c>
      <c r="L27" s="9">
        <v>27</v>
      </c>
      <c r="M27" s="8" t="s">
        <v>19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spans="1:35" x14ac:dyDescent="0.35">
      <c r="A28" s="7">
        <v>27</v>
      </c>
      <c r="B28" s="8">
        <v>3</v>
      </c>
      <c r="C28" s="8" t="s">
        <v>123</v>
      </c>
      <c r="D28" s="9" t="s">
        <v>124</v>
      </c>
      <c r="E28" s="9" t="s">
        <v>14</v>
      </c>
      <c r="F28" s="8">
        <v>8357059907</v>
      </c>
      <c r="G28" s="10" t="s">
        <v>125</v>
      </c>
      <c r="H28" s="9" t="s">
        <v>16</v>
      </c>
      <c r="I28" s="11" t="str">
        <f t="shared" si="0"/>
        <v>KALIGOTA NIHARIKA</v>
      </c>
      <c r="J28" s="8">
        <v>8320036132</v>
      </c>
      <c r="K28" s="9" t="s">
        <v>126</v>
      </c>
      <c r="L28" s="9">
        <v>18</v>
      </c>
      <c r="M28" s="8" t="s">
        <v>18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spans="1:35" x14ac:dyDescent="0.35">
      <c r="A29" s="7">
        <v>28</v>
      </c>
      <c r="B29" s="8">
        <v>2</v>
      </c>
      <c r="C29" s="8" t="s">
        <v>127</v>
      </c>
      <c r="D29" s="9" t="s">
        <v>128</v>
      </c>
      <c r="E29" s="9" t="s">
        <v>23</v>
      </c>
      <c r="F29" s="8">
        <v>8195300576</v>
      </c>
      <c r="G29" s="10" t="s">
        <v>129</v>
      </c>
      <c r="H29" s="9" t="s">
        <v>16</v>
      </c>
      <c r="I29" s="11" t="str">
        <f t="shared" si="0"/>
        <v>KALPANA KODARI</v>
      </c>
      <c r="J29" s="8">
        <v>8198639598</v>
      </c>
      <c r="K29" s="9" t="s">
        <v>130</v>
      </c>
      <c r="L29" s="9">
        <v>22</v>
      </c>
      <c r="M29" s="8" t="s">
        <v>18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spans="1:35" x14ac:dyDescent="0.35">
      <c r="A30" s="7">
        <v>29</v>
      </c>
      <c r="B30" s="8">
        <v>2</v>
      </c>
      <c r="C30" s="8" t="s">
        <v>131</v>
      </c>
      <c r="D30" s="9" t="s">
        <v>132</v>
      </c>
      <c r="E30" s="9" t="s">
        <v>23</v>
      </c>
      <c r="F30" s="8">
        <v>3908490120</v>
      </c>
      <c r="G30" s="10" t="s">
        <v>133</v>
      </c>
      <c r="H30" s="9" t="s">
        <v>29</v>
      </c>
      <c r="I30" s="11" t="str">
        <f t="shared" si="0"/>
        <v>KANCHA AKASH</v>
      </c>
      <c r="J30" s="8">
        <v>6600384368</v>
      </c>
      <c r="K30" s="9" t="s">
        <v>134</v>
      </c>
      <c r="L30" s="9">
        <v>20</v>
      </c>
      <c r="M30" s="8" t="s">
        <v>18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spans="1:35" x14ac:dyDescent="0.35">
      <c r="A31" s="7">
        <v>30</v>
      </c>
      <c r="B31" s="8">
        <v>3</v>
      </c>
      <c r="C31" s="8" t="s">
        <v>135</v>
      </c>
      <c r="D31" s="9" t="s">
        <v>136</v>
      </c>
      <c r="E31" s="9" t="s">
        <v>23</v>
      </c>
      <c r="F31" s="8">
        <v>6654686097</v>
      </c>
      <c r="G31" s="10" t="s">
        <v>137</v>
      </c>
      <c r="H31" s="9" t="s">
        <v>29</v>
      </c>
      <c r="I31" s="11" t="str">
        <f t="shared" si="0"/>
        <v>KASTURI SAI MAHESH</v>
      </c>
      <c r="J31" s="8">
        <v>6763788621</v>
      </c>
      <c r="K31" s="9" t="s">
        <v>138</v>
      </c>
      <c r="L31" s="9">
        <v>17</v>
      </c>
      <c r="M31" s="8" t="s">
        <v>18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spans="1:35" x14ac:dyDescent="0.35">
      <c r="A32" s="7">
        <v>31</v>
      </c>
      <c r="B32" s="8">
        <v>2</v>
      </c>
      <c r="C32" s="8" t="s">
        <v>139</v>
      </c>
      <c r="D32" s="9" t="s">
        <v>140</v>
      </c>
      <c r="E32" s="9" t="s">
        <v>23</v>
      </c>
      <c r="F32" s="8">
        <v>3176554504</v>
      </c>
      <c r="G32" s="10" t="s">
        <v>141</v>
      </c>
      <c r="H32" s="9" t="s">
        <v>29</v>
      </c>
      <c r="I32" s="11" t="str">
        <f t="shared" si="0"/>
        <v>LOVE TIWARI</v>
      </c>
      <c r="J32" s="8">
        <v>7070543329</v>
      </c>
      <c r="K32" s="9" t="s">
        <v>142</v>
      </c>
      <c r="L32" s="9">
        <v>22</v>
      </c>
      <c r="M32" s="8" t="s">
        <v>18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spans="1:35" x14ac:dyDescent="0.35">
      <c r="A33" s="7">
        <v>32</v>
      </c>
      <c r="B33" s="8">
        <v>1</v>
      </c>
      <c r="C33" s="8" t="s">
        <v>143</v>
      </c>
      <c r="D33" s="9" t="s">
        <v>144</v>
      </c>
      <c r="E33" s="9" t="s">
        <v>14</v>
      </c>
      <c r="F33" s="8">
        <v>7375541777</v>
      </c>
      <c r="G33" s="10" t="s">
        <v>145</v>
      </c>
      <c r="H33" s="9" t="s">
        <v>29</v>
      </c>
      <c r="I33" s="11" t="str">
        <f t="shared" si="0"/>
        <v>M. BALAJI</v>
      </c>
      <c r="J33" s="8">
        <v>2479994830</v>
      </c>
      <c r="K33" s="9" t="s">
        <v>146</v>
      </c>
      <c r="L33" s="9">
        <v>19</v>
      </c>
      <c r="M33" s="8" t="s">
        <v>18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spans="1:35" x14ac:dyDescent="0.35">
      <c r="A34" s="7">
        <v>33</v>
      </c>
      <c r="B34" s="8">
        <v>3</v>
      </c>
      <c r="C34" s="8" t="s">
        <v>147</v>
      </c>
      <c r="D34" s="9" t="s">
        <v>148</v>
      </c>
      <c r="E34" s="9" t="s">
        <v>14</v>
      </c>
      <c r="F34" s="8">
        <v>2307603936</v>
      </c>
      <c r="G34" s="10" t="s">
        <v>149</v>
      </c>
      <c r="H34" s="9" t="s">
        <v>16</v>
      </c>
      <c r="I34" s="11" t="str">
        <f t="shared" si="0"/>
        <v>MADHI VAISHNAVI</v>
      </c>
      <c r="J34" s="8">
        <v>2464662826</v>
      </c>
      <c r="K34" s="12">
        <v>37853</v>
      </c>
      <c r="L34" s="9">
        <v>20</v>
      </c>
      <c r="M34" s="8" t="s">
        <v>18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spans="1:35" x14ac:dyDescent="0.35">
      <c r="A35" s="7">
        <v>34</v>
      </c>
      <c r="B35" s="8">
        <v>2</v>
      </c>
      <c r="C35" s="8" t="s">
        <v>150</v>
      </c>
      <c r="D35" s="9" t="s">
        <v>151</v>
      </c>
      <c r="E35" s="9" t="s">
        <v>23</v>
      </c>
      <c r="F35" s="8">
        <v>7539961295</v>
      </c>
      <c r="G35" s="10" t="s">
        <v>152</v>
      </c>
      <c r="H35" s="9" t="s">
        <v>16</v>
      </c>
      <c r="I35" s="11" t="str">
        <f t="shared" si="0"/>
        <v>MANDALOJU NAGALAXMI</v>
      </c>
      <c r="J35" s="8">
        <v>7329763453</v>
      </c>
      <c r="K35" s="9" t="s">
        <v>153</v>
      </c>
      <c r="L35" s="9">
        <v>18</v>
      </c>
      <c r="M35" s="8" t="s">
        <v>18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spans="1:35" x14ac:dyDescent="0.35">
      <c r="A36" s="7">
        <v>35</v>
      </c>
      <c r="B36" s="8">
        <v>1</v>
      </c>
      <c r="C36" s="8" t="s">
        <v>154</v>
      </c>
      <c r="D36" s="9" t="s">
        <v>155</v>
      </c>
      <c r="E36" s="9" t="s">
        <v>23</v>
      </c>
      <c r="F36" s="8">
        <v>8714929594</v>
      </c>
      <c r="G36" s="10" t="s">
        <v>156</v>
      </c>
      <c r="H36" s="9" t="s">
        <v>16</v>
      </c>
      <c r="I36" s="11" t="str">
        <f t="shared" si="0"/>
        <v>MANIKYALA RAMADEVI</v>
      </c>
      <c r="J36" s="8">
        <v>1027318203</v>
      </c>
      <c r="K36" s="9" t="s">
        <v>157</v>
      </c>
      <c r="L36" s="9">
        <v>18</v>
      </c>
      <c r="M36" s="8" t="s">
        <v>18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spans="1:35" x14ac:dyDescent="0.35">
      <c r="A37" s="7">
        <v>36</v>
      </c>
      <c r="B37" s="8">
        <v>3</v>
      </c>
      <c r="C37" s="8" t="s">
        <v>158</v>
      </c>
      <c r="D37" s="9" t="s">
        <v>159</v>
      </c>
      <c r="E37" s="9" t="s">
        <v>14</v>
      </c>
      <c r="F37" s="8">
        <v>6748495954</v>
      </c>
      <c r="G37" s="10" t="s">
        <v>160</v>
      </c>
      <c r="H37" s="9" t="s">
        <v>16</v>
      </c>
      <c r="I37" s="11" t="str">
        <f t="shared" si="0"/>
        <v>MASKA PAVANI</v>
      </c>
      <c r="J37" s="8">
        <v>4012125534</v>
      </c>
      <c r="K37" s="9" t="s">
        <v>161</v>
      </c>
      <c r="L37" s="9">
        <v>17</v>
      </c>
      <c r="M37" s="8" t="s">
        <v>18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spans="1:35" x14ac:dyDescent="0.35">
      <c r="A38" s="7">
        <v>37</v>
      </c>
      <c r="B38" s="8">
        <v>3</v>
      </c>
      <c r="C38" s="8" t="s">
        <v>162</v>
      </c>
      <c r="D38" s="9" t="s">
        <v>163</v>
      </c>
      <c r="E38" s="9" t="s">
        <v>23</v>
      </c>
      <c r="F38" s="8">
        <v>5598318903</v>
      </c>
      <c r="G38" s="10" t="s">
        <v>164</v>
      </c>
      <c r="H38" s="9" t="s">
        <v>16</v>
      </c>
      <c r="I38" s="11" t="str">
        <f t="shared" si="0"/>
        <v>MEGHAGNI MUKHERJEE</v>
      </c>
      <c r="J38" s="8">
        <v>8606299440</v>
      </c>
      <c r="K38" s="9" t="s">
        <v>165</v>
      </c>
      <c r="L38" s="9">
        <v>18</v>
      </c>
      <c r="M38" s="8" t="s">
        <v>18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spans="1:35" x14ac:dyDescent="0.35">
      <c r="A39" s="7">
        <v>38</v>
      </c>
      <c r="B39" s="8">
        <v>1</v>
      </c>
      <c r="C39" s="8" t="s">
        <v>166</v>
      </c>
      <c r="D39" s="9" t="s">
        <v>167</v>
      </c>
      <c r="E39" s="9" t="s">
        <v>23</v>
      </c>
      <c r="F39" s="8">
        <v>5366755536</v>
      </c>
      <c r="G39" s="10" t="s">
        <v>168</v>
      </c>
      <c r="H39" s="9" t="s">
        <v>29</v>
      </c>
      <c r="I39" s="11" t="str">
        <f t="shared" si="0"/>
        <v>N LAXMI NARASIMHA</v>
      </c>
      <c r="J39" s="8">
        <v>4099577077</v>
      </c>
      <c r="K39" s="9" t="s">
        <v>169</v>
      </c>
      <c r="L39" s="9">
        <v>18</v>
      </c>
      <c r="M39" s="8" t="s">
        <v>18</v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spans="1:35" x14ac:dyDescent="0.35">
      <c r="A40" s="7">
        <v>39</v>
      </c>
      <c r="B40" s="8">
        <v>3</v>
      </c>
      <c r="C40" s="8" t="s">
        <v>170</v>
      </c>
      <c r="D40" s="9" t="s">
        <v>171</v>
      </c>
      <c r="E40" s="9" t="s">
        <v>14</v>
      </c>
      <c r="F40" s="8">
        <v>5685425899</v>
      </c>
      <c r="G40" s="10" t="s">
        <v>172</v>
      </c>
      <c r="H40" s="9" t="s">
        <v>16</v>
      </c>
      <c r="I40" s="11" t="str">
        <f t="shared" si="0"/>
        <v>NANAPURAJ LAHARIKA</v>
      </c>
      <c r="J40" s="8">
        <v>3700957702</v>
      </c>
      <c r="K40" s="9" t="s">
        <v>173</v>
      </c>
      <c r="L40" s="9">
        <v>20</v>
      </c>
      <c r="M40" s="8" t="s">
        <v>18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spans="1:35" x14ac:dyDescent="0.35">
      <c r="A41" s="7">
        <v>40</v>
      </c>
      <c r="B41" s="8">
        <v>3</v>
      </c>
      <c r="C41" s="8" t="s">
        <v>174</v>
      </c>
      <c r="D41" s="9" t="s">
        <v>175</v>
      </c>
      <c r="E41" s="9" t="s">
        <v>14</v>
      </c>
      <c r="F41" s="8">
        <v>8546891943</v>
      </c>
      <c r="G41" s="10" t="s">
        <v>176</v>
      </c>
      <c r="H41" s="9" t="s">
        <v>29</v>
      </c>
      <c r="I41" s="11" t="str">
        <f t="shared" si="0"/>
        <v>NARRA VENKATA SAI</v>
      </c>
      <c r="J41" s="8">
        <v>1351607642</v>
      </c>
      <c r="K41" s="9" t="s">
        <v>177</v>
      </c>
      <c r="L41" s="9">
        <v>21</v>
      </c>
      <c r="M41" s="8" t="s">
        <v>18</v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spans="1:35" x14ac:dyDescent="0.35">
      <c r="A42" s="7">
        <v>41</v>
      </c>
      <c r="B42" s="8">
        <v>3</v>
      </c>
      <c r="C42" s="8" t="s">
        <v>178</v>
      </c>
      <c r="D42" s="9" t="s">
        <v>179</v>
      </c>
      <c r="E42" s="9" t="s">
        <v>14</v>
      </c>
      <c r="F42" s="8">
        <v>7905481507</v>
      </c>
      <c r="G42" s="10" t="s">
        <v>180</v>
      </c>
      <c r="H42" s="9" t="s">
        <v>29</v>
      </c>
      <c r="I42" s="11" t="str">
        <f t="shared" si="0"/>
        <v>NAVUDU TEJESH</v>
      </c>
      <c r="J42" s="8">
        <v>4584578764</v>
      </c>
      <c r="K42" s="9" t="s">
        <v>181</v>
      </c>
      <c r="L42" s="9">
        <v>18</v>
      </c>
      <c r="M42" s="8" t="s">
        <v>18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spans="1:35" x14ac:dyDescent="0.35">
      <c r="A43" s="7">
        <v>42</v>
      </c>
      <c r="B43" s="8">
        <v>2</v>
      </c>
      <c r="C43" s="8" t="s">
        <v>182</v>
      </c>
      <c r="D43" s="9" t="s">
        <v>183</v>
      </c>
      <c r="E43" s="9" t="s">
        <v>14</v>
      </c>
      <c r="F43" s="8">
        <v>5681445328</v>
      </c>
      <c r="G43" s="10" t="s">
        <v>184</v>
      </c>
      <c r="H43" s="9" t="s">
        <v>16</v>
      </c>
      <c r="I43" s="11" t="str">
        <f t="shared" si="0"/>
        <v>PALLEY SHRAVANI</v>
      </c>
      <c r="J43" s="8">
        <v>7661428150</v>
      </c>
      <c r="K43" s="12">
        <v>38337</v>
      </c>
      <c r="L43" s="9">
        <v>19</v>
      </c>
      <c r="M43" s="8" t="s">
        <v>18</v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spans="1:35" x14ac:dyDescent="0.35">
      <c r="A44" s="7">
        <v>43</v>
      </c>
      <c r="B44" s="8">
        <v>2</v>
      </c>
      <c r="C44" s="8" t="s">
        <v>185</v>
      </c>
      <c r="D44" s="9" t="s">
        <v>186</v>
      </c>
      <c r="E44" s="9" t="s">
        <v>23</v>
      </c>
      <c r="F44" s="8">
        <v>1576469041</v>
      </c>
      <c r="G44" s="10" t="s">
        <v>187</v>
      </c>
      <c r="H44" s="9" t="s">
        <v>29</v>
      </c>
      <c r="I44" s="11" t="str">
        <f t="shared" si="0"/>
        <v>PAPAKANTI RAJU</v>
      </c>
      <c r="J44" s="8">
        <v>3324864700</v>
      </c>
      <c r="K44" s="9" t="s">
        <v>188</v>
      </c>
      <c r="L44" s="9">
        <v>22</v>
      </c>
      <c r="M44" s="8" t="s">
        <v>18</v>
      </c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spans="1:35" x14ac:dyDescent="0.35">
      <c r="A45" s="7">
        <v>44</v>
      </c>
      <c r="B45" s="8">
        <v>2</v>
      </c>
      <c r="C45" s="8" t="s">
        <v>189</v>
      </c>
      <c r="D45" s="9" t="s">
        <v>190</v>
      </c>
      <c r="E45" s="9" t="s">
        <v>23</v>
      </c>
      <c r="F45" s="8">
        <v>7244391357</v>
      </c>
      <c r="G45" s="10" t="s">
        <v>191</v>
      </c>
      <c r="H45" s="9" t="s">
        <v>29</v>
      </c>
      <c r="I45" s="11" t="str">
        <f t="shared" si="0"/>
        <v>PRATAPAGIRI NEELAKANTA SASTRY</v>
      </c>
      <c r="J45" s="8">
        <v>1344765434</v>
      </c>
      <c r="K45" s="9" t="s">
        <v>192</v>
      </c>
      <c r="L45" s="9">
        <v>24</v>
      </c>
      <c r="M45" s="8" t="s">
        <v>18</v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spans="1:35" x14ac:dyDescent="0.35">
      <c r="A46" s="7">
        <v>45</v>
      </c>
      <c r="B46" s="8">
        <v>1</v>
      </c>
      <c r="C46" s="8" t="s">
        <v>193</v>
      </c>
      <c r="D46" s="9" t="s">
        <v>194</v>
      </c>
      <c r="E46" s="9" t="s">
        <v>23</v>
      </c>
      <c r="F46" s="8">
        <v>5713887644</v>
      </c>
      <c r="G46" s="10" t="s">
        <v>195</v>
      </c>
      <c r="H46" s="9" t="s">
        <v>29</v>
      </c>
      <c r="I46" s="11" t="str">
        <f t="shared" si="0"/>
        <v>PRAVEEN RAJPOOT</v>
      </c>
      <c r="J46" s="8">
        <v>8922958342</v>
      </c>
      <c r="K46" s="9" t="s">
        <v>196</v>
      </c>
      <c r="L46" s="9">
        <v>19</v>
      </c>
      <c r="M46" s="8" t="s">
        <v>18</v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spans="1:35" x14ac:dyDescent="0.35">
      <c r="A47" s="7">
        <v>46</v>
      </c>
      <c r="B47" s="8">
        <v>2</v>
      </c>
      <c r="C47" s="8" t="s">
        <v>197</v>
      </c>
      <c r="D47" s="9" t="s">
        <v>198</v>
      </c>
      <c r="E47" s="9" t="s">
        <v>14</v>
      </c>
      <c r="F47" s="8">
        <v>4360003876</v>
      </c>
      <c r="G47" s="10" t="s">
        <v>199</v>
      </c>
      <c r="H47" s="9" t="s">
        <v>29</v>
      </c>
      <c r="I47" s="11" t="str">
        <f t="shared" si="0"/>
        <v>R. VIGNESH</v>
      </c>
      <c r="J47" s="8">
        <v>6311928736</v>
      </c>
      <c r="K47" s="9" t="s">
        <v>200</v>
      </c>
      <c r="L47" s="9">
        <v>19</v>
      </c>
      <c r="M47" s="8" t="s">
        <v>18</v>
      </c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spans="1:35" x14ac:dyDescent="0.35">
      <c r="A48" s="7">
        <v>47</v>
      </c>
      <c r="B48" s="8">
        <v>2</v>
      </c>
      <c r="C48" s="8" t="s">
        <v>201</v>
      </c>
      <c r="D48" s="9" t="s">
        <v>202</v>
      </c>
      <c r="E48" s="9" t="s">
        <v>23</v>
      </c>
      <c r="F48" s="8">
        <v>6232183694</v>
      </c>
      <c r="G48" s="10" t="s">
        <v>203</v>
      </c>
      <c r="H48" s="9" t="s">
        <v>29</v>
      </c>
      <c r="I48" s="11" t="str">
        <f t="shared" si="0"/>
        <v>RACHAMANDUGU AJAYKUMAR</v>
      </c>
      <c r="J48" s="8">
        <v>1358146481</v>
      </c>
      <c r="K48" s="9" t="s">
        <v>204</v>
      </c>
      <c r="L48" s="9">
        <v>19</v>
      </c>
      <c r="M48" s="8" t="s">
        <v>18</v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spans="1:35" x14ac:dyDescent="0.35">
      <c r="A49" s="7">
        <v>48</v>
      </c>
      <c r="B49" s="8">
        <v>3</v>
      </c>
      <c r="C49" s="8" t="s">
        <v>205</v>
      </c>
      <c r="D49" s="9" t="s">
        <v>206</v>
      </c>
      <c r="E49" s="9" t="s">
        <v>23</v>
      </c>
      <c r="F49" s="8">
        <v>6682877186</v>
      </c>
      <c r="G49" s="10" t="s">
        <v>207</v>
      </c>
      <c r="H49" s="9" t="s">
        <v>16</v>
      </c>
      <c r="I49" s="11" t="str">
        <f t="shared" si="0"/>
        <v>REVALLI NAGESHWARI</v>
      </c>
      <c r="J49" s="8">
        <v>7997007047</v>
      </c>
      <c r="K49" s="9" t="s">
        <v>208</v>
      </c>
      <c r="L49" s="9">
        <v>20</v>
      </c>
      <c r="M49" s="8" t="s">
        <v>19</v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</row>
    <row r="50" spans="1:35" x14ac:dyDescent="0.35">
      <c r="A50" s="7">
        <v>49</v>
      </c>
      <c r="B50" s="8">
        <v>3</v>
      </c>
      <c r="C50" s="8" t="s">
        <v>209</v>
      </c>
      <c r="D50" s="9" t="s">
        <v>210</v>
      </c>
      <c r="E50" s="9" t="s">
        <v>14</v>
      </c>
      <c r="F50" s="8">
        <v>8911831176</v>
      </c>
      <c r="G50" s="10" t="s">
        <v>211</v>
      </c>
      <c r="H50" s="9" t="s">
        <v>29</v>
      </c>
      <c r="I50" s="11" t="str">
        <f t="shared" si="0"/>
        <v>ROHIT REDDY</v>
      </c>
      <c r="J50" s="8">
        <v>6665134788</v>
      </c>
      <c r="K50" s="9" t="s">
        <v>212</v>
      </c>
      <c r="L50" s="9">
        <v>18</v>
      </c>
      <c r="M50" s="8" t="s">
        <v>18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</row>
    <row r="51" spans="1:35" x14ac:dyDescent="0.35">
      <c r="A51" s="7">
        <v>50</v>
      </c>
      <c r="B51" s="8">
        <v>3</v>
      </c>
      <c r="C51" s="8" t="s">
        <v>213</v>
      </c>
      <c r="D51" s="9" t="s">
        <v>214</v>
      </c>
      <c r="E51" s="9" t="s">
        <v>23</v>
      </c>
      <c r="F51" s="8">
        <v>5328455783</v>
      </c>
      <c r="G51" s="10" t="s">
        <v>215</v>
      </c>
      <c r="H51" s="9" t="s">
        <v>16</v>
      </c>
      <c r="I51" s="11" t="str">
        <f t="shared" si="0"/>
        <v>RUCHI RANJAN</v>
      </c>
      <c r="J51" s="8">
        <v>1065242166</v>
      </c>
      <c r="K51" s="9" t="s">
        <v>216</v>
      </c>
      <c r="L51" s="9">
        <v>18</v>
      </c>
      <c r="M51" s="8" t="s">
        <v>19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</row>
    <row r="52" spans="1:35" x14ac:dyDescent="0.35">
      <c r="A52" s="7">
        <v>51</v>
      </c>
      <c r="B52" s="8">
        <v>1</v>
      </c>
      <c r="C52" s="8" t="s">
        <v>217</v>
      </c>
      <c r="D52" s="9" t="s">
        <v>218</v>
      </c>
      <c r="E52" s="9" t="s">
        <v>14</v>
      </c>
      <c r="F52" s="8">
        <v>4825148027</v>
      </c>
      <c r="G52" s="10" t="s">
        <v>219</v>
      </c>
      <c r="H52" s="9" t="s">
        <v>29</v>
      </c>
      <c r="I52" s="11" t="str">
        <f t="shared" si="0"/>
        <v>SHAIK FAHAD</v>
      </c>
      <c r="J52" s="8">
        <v>1828010878</v>
      </c>
      <c r="K52" s="9" t="s">
        <v>220</v>
      </c>
      <c r="L52" s="9">
        <v>19</v>
      </c>
      <c r="M52" s="8" t="s">
        <v>18</v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</row>
    <row r="53" spans="1:35" x14ac:dyDescent="0.35">
      <c r="A53" s="7">
        <v>52</v>
      </c>
      <c r="B53" s="8">
        <v>3</v>
      </c>
      <c r="C53" s="8" t="s">
        <v>221</v>
      </c>
      <c r="D53" s="9" t="s">
        <v>222</v>
      </c>
      <c r="E53" s="9" t="s">
        <v>23</v>
      </c>
      <c r="F53" s="8">
        <v>3228331930</v>
      </c>
      <c r="G53" s="10" t="s">
        <v>223</v>
      </c>
      <c r="H53" s="9" t="s">
        <v>29</v>
      </c>
      <c r="I53" s="11" t="str">
        <f t="shared" si="0"/>
        <v>SHAIK SAMEER AHMED</v>
      </c>
      <c r="J53" s="8">
        <v>6717092554</v>
      </c>
      <c r="K53" s="9" t="s">
        <v>224</v>
      </c>
      <c r="L53" s="9">
        <v>20</v>
      </c>
      <c r="M53" s="8" t="s">
        <v>19</v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</row>
    <row r="54" spans="1:35" x14ac:dyDescent="0.35">
      <c r="A54" s="7">
        <v>53</v>
      </c>
      <c r="B54" s="8">
        <v>1</v>
      </c>
      <c r="C54" s="8" t="s">
        <v>225</v>
      </c>
      <c r="D54" s="9" t="s">
        <v>226</v>
      </c>
      <c r="E54" s="9" t="s">
        <v>23</v>
      </c>
      <c r="F54" s="8">
        <v>7158666834</v>
      </c>
      <c r="G54" s="10" t="s">
        <v>227</v>
      </c>
      <c r="H54" s="9" t="s">
        <v>29</v>
      </c>
      <c r="I54" s="11" t="str">
        <f t="shared" si="0"/>
        <v>SHEJUL BALAJI RAMESHWAR</v>
      </c>
      <c r="J54" s="8">
        <v>7178012275</v>
      </c>
      <c r="K54" s="9" t="s">
        <v>228</v>
      </c>
      <c r="L54" s="9">
        <v>20</v>
      </c>
      <c r="M54" s="8" t="s">
        <v>18</v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</row>
    <row r="55" spans="1:35" x14ac:dyDescent="0.35">
      <c r="A55" s="7">
        <v>54</v>
      </c>
      <c r="B55" s="8">
        <v>2</v>
      </c>
      <c r="C55" s="8" t="s">
        <v>229</v>
      </c>
      <c r="D55" s="9" t="s">
        <v>230</v>
      </c>
      <c r="E55" s="9" t="s">
        <v>23</v>
      </c>
      <c r="F55" s="8">
        <v>7998839021</v>
      </c>
      <c r="G55" s="10" t="s">
        <v>231</v>
      </c>
      <c r="H55" s="9" t="s">
        <v>29</v>
      </c>
      <c r="I55" s="11" t="str">
        <f t="shared" si="0"/>
        <v>SHOAIB AKHTAR</v>
      </c>
      <c r="J55" s="8">
        <v>1247692282</v>
      </c>
      <c r="K55" s="9" t="s">
        <v>232</v>
      </c>
      <c r="L55" s="9">
        <v>19</v>
      </c>
      <c r="M55" s="8" t="s">
        <v>19</v>
      </c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</row>
    <row r="56" spans="1:35" x14ac:dyDescent="0.35">
      <c r="A56" s="7">
        <v>55</v>
      </c>
      <c r="B56" s="8">
        <v>1</v>
      </c>
      <c r="C56" s="8" t="s">
        <v>233</v>
      </c>
      <c r="D56" s="9" t="s">
        <v>234</v>
      </c>
      <c r="E56" s="9" t="s">
        <v>23</v>
      </c>
      <c r="F56" s="8">
        <v>8550635195</v>
      </c>
      <c r="G56" s="10" t="s">
        <v>235</v>
      </c>
      <c r="H56" s="9" t="s">
        <v>16</v>
      </c>
      <c r="I56" s="11" t="str">
        <f t="shared" si="0"/>
        <v>SINGAM KRISHNA VENI</v>
      </c>
      <c r="J56" s="8">
        <v>8502959543</v>
      </c>
      <c r="K56" s="9" t="s">
        <v>236</v>
      </c>
      <c r="L56" s="9">
        <v>19</v>
      </c>
      <c r="M56" s="8" t="s">
        <v>18</v>
      </c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</row>
    <row r="57" spans="1:35" x14ac:dyDescent="0.35">
      <c r="A57" s="7">
        <v>56</v>
      </c>
      <c r="B57" s="8">
        <v>3</v>
      </c>
      <c r="C57" s="8" t="s">
        <v>237</v>
      </c>
      <c r="D57" s="9" t="s">
        <v>238</v>
      </c>
      <c r="E57" s="9" t="s">
        <v>23</v>
      </c>
      <c r="F57" s="8">
        <v>8733465367</v>
      </c>
      <c r="G57" s="10" t="s">
        <v>239</v>
      </c>
      <c r="H57" s="9" t="s">
        <v>16</v>
      </c>
      <c r="I57" s="11" t="str">
        <f t="shared" si="0"/>
        <v>SINGUDASU PALLAVI</v>
      </c>
      <c r="J57" s="8">
        <v>2632940404</v>
      </c>
      <c r="K57" s="9" t="s">
        <v>240</v>
      </c>
      <c r="L57" s="9">
        <v>18</v>
      </c>
      <c r="M57" s="8" t="s">
        <v>19</v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</row>
    <row r="58" spans="1:35" x14ac:dyDescent="0.35">
      <c r="A58" s="7">
        <v>57</v>
      </c>
      <c r="B58" s="8">
        <v>3</v>
      </c>
      <c r="C58" s="8" t="s">
        <v>241</v>
      </c>
      <c r="D58" s="9" t="s">
        <v>242</v>
      </c>
      <c r="E58" s="9" t="s">
        <v>14</v>
      </c>
      <c r="F58" s="8">
        <v>6153044829</v>
      </c>
      <c r="G58" s="10" t="s">
        <v>243</v>
      </c>
      <c r="H58" s="9" t="s">
        <v>29</v>
      </c>
      <c r="I58" s="11" t="str">
        <f t="shared" si="0"/>
        <v>SUBHASHIS PAL</v>
      </c>
      <c r="J58" s="8">
        <v>4599123031</v>
      </c>
      <c r="K58" s="9" t="s">
        <v>244</v>
      </c>
      <c r="L58" s="9">
        <v>19</v>
      </c>
      <c r="M58" s="8" t="s">
        <v>18</v>
      </c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</row>
    <row r="59" spans="1:35" x14ac:dyDescent="0.35">
      <c r="A59" s="7">
        <v>58</v>
      </c>
      <c r="B59" s="8">
        <v>3</v>
      </c>
      <c r="C59" s="8" t="s">
        <v>245</v>
      </c>
      <c r="D59" s="9" t="s">
        <v>246</v>
      </c>
      <c r="E59" s="9" t="s">
        <v>23</v>
      </c>
      <c r="F59" s="8">
        <v>4496254693</v>
      </c>
      <c r="G59" s="10" t="s">
        <v>247</v>
      </c>
      <c r="H59" s="9" t="s">
        <v>29</v>
      </c>
      <c r="I59" s="11" t="str">
        <f t="shared" si="0"/>
        <v>SUJEET KUMAR</v>
      </c>
      <c r="J59" s="8">
        <v>8291504175</v>
      </c>
      <c r="K59" s="9" t="s">
        <v>248</v>
      </c>
      <c r="L59" s="9">
        <v>18</v>
      </c>
      <c r="M59" s="8" t="s">
        <v>19</v>
      </c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</row>
    <row r="60" spans="1:35" x14ac:dyDescent="0.35">
      <c r="A60" s="7">
        <v>59</v>
      </c>
      <c r="B60" s="8">
        <v>1</v>
      </c>
      <c r="C60" s="8" t="s">
        <v>249</v>
      </c>
      <c r="D60" s="9" t="s">
        <v>250</v>
      </c>
      <c r="E60" s="9" t="s">
        <v>23</v>
      </c>
      <c r="F60" s="8">
        <v>2881088394</v>
      </c>
      <c r="G60" s="10" t="s">
        <v>251</v>
      </c>
      <c r="H60" s="9" t="s">
        <v>16</v>
      </c>
      <c r="I60" s="11" t="str">
        <f t="shared" si="0"/>
        <v>SURUCHI RANJAN</v>
      </c>
      <c r="J60" s="8">
        <v>7766204724</v>
      </c>
      <c r="K60" s="9" t="s">
        <v>216</v>
      </c>
      <c r="L60" s="9">
        <v>18</v>
      </c>
      <c r="M60" s="8" t="s">
        <v>20</v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</row>
    <row r="61" spans="1:35" x14ac:dyDescent="0.35">
      <c r="A61" s="7">
        <v>60</v>
      </c>
      <c r="B61" s="8">
        <v>3</v>
      </c>
      <c r="C61" s="8" t="s">
        <v>252</v>
      </c>
      <c r="D61" s="9" t="s">
        <v>253</v>
      </c>
      <c r="E61" s="9" t="s">
        <v>14</v>
      </c>
      <c r="F61" s="8">
        <v>3401449282</v>
      </c>
      <c r="G61" s="10" t="s">
        <v>254</v>
      </c>
      <c r="H61" s="9" t="s">
        <v>29</v>
      </c>
      <c r="I61" s="11" t="str">
        <f t="shared" si="0"/>
        <v>SUVENDU KHATUA</v>
      </c>
      <c r="J61" s="8">
        <v>8342344652</v>
      </c>
      <c r="K61" s="9" t="s">
        <v>255</v>
      </c>
      <c r="L61" s="9">
        <v>19</v>
      </c>
      <c r="M61" s="8" t="s">
        <v>20</v>
      </c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</row>
    <row r="62" spans="1:35" x14ac:dyDescent="0.35">
      <c r="A62" s="7">
        <v>61</v>
      </c>
      <c r="B62" s="8">
        <v>2</v>
      </c>
      <c r="C62" s="8" t="s">
        <v>256</v>
      </c>
      <c r="D62" s="9" t="s">
        <v>257</v>
      </c>
      <c r="E62" s="9" t="s">
        <v>23</v>
      </c>
      <c r="F62" s="8">
        <v>4405995363</v>
      </c>
      <c r="G62" s="10" t="s">
        <v>258</v>
      </c>
      <c r="H62" s="9" t="s">
        <v>29</v>
      </c>
      <c r="I62" s="11" t="str">
        <f t="shared" si="0"/>
        <v>SYED ABDUL HAKEEM</v>
      </c>
      <c r="J62" s="8">
        <v>7443835432</v>
      </c>
      <c r="K62" s="9" t="s">
        <v>259</v>
      </c>
      <c r="L62" s="9">
        <v>19</v>
      </c>
      <c r="M62" s="8" t="s">
        <v>20</v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</row>
    <row r="63" spans="1:35" x14ac:dyDescent="0.35">
      <c r="A63" s="7">
        <v>62</v>
      </c>
      <c r="B63" s="8">
        <v>3</v>
      </c>
      <c r="C63" s="8" t="s">
        <v>260</v>
      </c>
      <c r="D63" s="9" t="s">
        <v>261</v>
      </c>
      <c r="E63" s="9" t="s">
        <v>23</v>
      </c>
      <c r="F63" s="8">
        <v>2219599156</v>
      </c>
      <c r="G63" s="10" t="s">
        <v>262</v>
      </c>
      <c r="H63" s="9" t="s">
        <v>29</v>
      </c>
      <c r="I63" s="11" t="str">
        <f t="shared" si="0"/>
        <v>SYED ABDUL HALEEM</v>
      </c>
      <c r="J63" s="8">
        <v>8853631789</v>
      </c>
      <c r="K63" s="9" t="s">
        <v>259</v>
      </c>
      <c r="L63" s="9">
        <v>19</v>
      </c>
      <c r="M63" s="8" t="s">
        <v>20</v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</row>
    <row r="64" spans="1:35" x14ac:dyDescent="0.35">
      <c r="A64" s="7">
        <v>63</v>
      </c>
      <c r="B64" s="8">
        <v>2</v>
      </c>
      <c r="C64" s="8" t="s">
        <v>263</v>
      </c>
      <c r="D64" s="9" t="s">
        <v>264</v>
      </c>
      <c r="E64" s="9" t="s">
        <v>14</v>
      </c>
      <c r="F64" s="8">
        <v>3482112190</v>
      </c>
      <c r="G64" s="10" t="s">
        <v>265</v>
      </c>
      <c r="H64" s="9" t="s">
        <v>29</v>
      </c>
      <c r="I64" s="11" t="str">
        <f t="shared" si="0"/>
        <v>SYED ADIL</v>
      </c>
      <c r="J64" s="8">
        <v>1753557010</v>
      </c>
      <c r="K64" s="9" t="s">
        <v>266</v>
      </c>
      <c r="L64" s="9">
        <v>17</v>
      </c>
      <c r="M64" s="8" t="s">
        <v>20</v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</row>
    <row r="65" spans="1:35" x14ac:dyDescent="0.35">
      <c r="A65" s="7">
        <v>64</v>
      </c>
      <c r="B65" s="8">
        <v>1</v>
      </c>
      <c r="C65" s="8" t="s">
        <v>267</v>
      </c>
      <c r="D65" s="9" t="s">
        <v>268</v>
      </c>
      <c r="E65" s="9" t="s">
        <v>23</v>
      </c>
      <c r="F65" s="8">
        <v>8411360361</v>
      </c>
      <c r="G65" s="10" t="s">
        <v>269</v>
      </c>
      <c r="H65" s="9" t="s">
        <v>29</v>
      </c>
      <c r="I65" s="11" t="str">
        <f t="shared" si="0"/>
        <v>VELUPULA SUNIL KUMAR</v>
      </c>
      <c r="J65" s="8">
        <v>2016736479</v>
      </c>
      <c r="K65" s="9" t="s">
        <v>270</v>
      </c>
      <c r="L65" s="9">
        <v>20</v>
      </c>
      <c r="M65" s="8" t="s">
        <v>20</v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</row>
    <row r="66" spans="1:35" ht="15.5" x14ac:dyDescent="0.35">
      <c r="A66" s="7">
        <v>65</v>
      </c>
      <c r="B66" s="8">
        <v>2</v>
      </c>
      <c r="C66" s="8" t="s">
        <v>271</v>
      </c>
      <c r="D66" s="13" t="s">
        <v>272</v>
      </c>
      <c r="E66" s="13" t="s">
        <v>14</v>
      </c>
      <c r="F66" s="8">
        <v>2842414479</v>
      </c>
      <c r="G66" s="10" t="s">
        <v>273</v>
      </c>
      <c r="H66" s="13" t="s">
        <v>29</v>
      </c>
      <c r="I66" s="11" t="str">
        <f t="shared" si="0"/>
        <v>BALA CHARY</v>
      </c>
      <c r="J66" s="8">
        <v>4761178323</v>
      </c>
      <c r="K66" s="9" t="s">
        <v>274</v>
      </c>
      <c r="L66" s="9">
        <v>18</v>
      </c>
      <c r="M66" s="8" t="s">
        <v>18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</row>
    <row r="67" spans="1:35" ht="15.5" x14ac:dyDescent="0.35">
      <c r="A67" s="7">
        <v>66</v>
      </c>
      <c r="B67" s="8">
        <v>2</v>
      </c>
      <c r="C67" s="8" t="s">
        <v>275</v>
      </c>
      <c r="D67" s="13" t="s">
        <v>276</v>
      </c>
      <c r="E67" s="13" t="s">
        <v>23</v>
      </c>
      <c r="F67" s="8">
        <v>5876113945</v>
      </c>
      <c r="G67" s="10" t="s">
        <v>277</v>
      </c>
      <c r="H67" s="13" t="s">
        <v>16</v>
      </c>
      <c r="I67" s="11" t="str">
        <f t="shared" ref="I67:I81" si="1">D67</f>
        <v>BANDARI SRUJANA</v>
      </c>
      <c r="J67" s="8">
        <v>3607697190</v>
      </c>
      <c r="K67" s="9" t="s">
        <v>278</v>
      </c>
      <c r="L67" s="9">
        <v>18</v>
      </c>
      <c r="M67" s="8" t="s">
        <v>18</v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</row>
    <row r="68" spans="1:35" ht="15.5" x14ac:dyDescent="0.35">
      <c r="A68" s="7">
        <v>67</v>
      </c>
      <c r="B68" s="8">
        <v>2</v>
      </c>
      <c r="C68" s="8" t="s">
        <v>279</v>
      </c>
      <c r="D68" s="13" t="s">
        <v>280</v>
      </c>
      <c r="E68" s="13" t="s">
        <v>23</v>
      </c>
      <c r="F68" s="8">
        <v>4273126076</v>
      </c>
      <c r="G68" s="10" t="s">
        <v>281</v>
      </c>
      <c r="H68" s="13" t="s">
        <v>29</v>
      </c>
      <c r="I68" s="11" t="str">
        <f t="shared" si="1"/>
        <v>DURGA PRASAD</v>
      </c>
      <c r="J68" s="8">
        <v>6389348959</v>
      </c>
      <c r="K68" s="9" t="s">
        <v>282</v>
      </c>
      <c r="L68" s="9">
        <v>21</v>
      </c>
      <c r="M68" s="8" t="s">
        <v>18</v>
      </c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</row>
    <row r="69" spans="1:35" ht="15.5" x14ac:dyDescent="0.35">
      <c r="A69" s="7">
        <v>68</v>
      </c>
      <c r="B69" s="8">
        <v>3</v>
      </c>
      <c r="C69" s="8" t="s">
        <v>283</v>
      </c>
      <c r="D69" s="13" t="s">
        <v>284</v>
      </c>
      <c r="E69" s="13" t="s">
        <v>23</v>
      </c>
      <c r="F69" s="8">
        <v>8077085042</v>
      </c>
      <c r="G69" s="10" t="s">
        <v>285</v>
      </c>
      <c r="H69" s="13" t="s">
        <v>16</v>
      </c>
      <c r="I69" s="11" t="str">
        <f t="shared" si="1"/>
        <v>K PAVANI</v>
      </c>
      <c r="J69" s="8">
        <v>1974312194</v>
      </c>
      <c r="K69" s="9" t="s">
        <v>286</v>
      </c>
      <c r="L69" s="9">
        <v>25</v>
      </c>
      <c r="M69" s="8" t="s">
        <v>18</v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</row>
    <row r="70" spans="1:35" ht="15.5" x14ac:dyDescent="0.35">
      <c r="A70" s="7">
        <v>69</v>
      </c>
      <c r="B70" s="8">
        <v>3</v>
      </c>
      <c r="C70" s="8" t="s">
        <v>287</v>
      </c>
      <c r="D70" s="13" t="s">
        <v>288</v>
      </c>
      <c r="E70" s="13" t="s">
        <v>14</v>
      </c>
      <c r="F70" s="8">
        <v>8112643867</v>
      </c>
      <c r="G70" s="10" t="s">
        <v>289</v>
      </c>
      <c r="H70" s="13" t="s">
        <v>29</v>
      </c>
      <c r="I70" s="11" t="str">
        <f t="shared" si="1"/>
        <v>M KOMAL RAJ</v>
      </c>
      <c r="J70" s="8">
        <v>2321672644</v>
      </c>
      <c r="K70" s="13" t="s">
        <v>204</v>
      </c>
      <c r="L70" s="9">
        <v>19</v>
      </c>
      <c r="M70" s="8" t="s">
        <v>18</v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</row>
    <row r="71" spans="1:35" ht="15.5" x14ac:dyDescent="0.35">
      <c r="A71" s="7">
        <v>70</v>
      </c>
      <c r="B71" s="8">
        <v>3</v>
      </c>
      <c r="C71" s="8" t="s">
        <v>290</v>
      </c>
      <c r="D71" s="13" t="s">
        <v>291</v>
      </c>
      <c r="E71" s="13" t="s">
        <v>23</v>
      </c>
      <c r="F71" s="8">
        <v>3685782386</v>
      </c>
      <c r="G71" s="10" t="s">
        <v>292</v>
      </c>
      <c r="H71" s="13" t="s">
        <v>16</v>
      </c>
      <c r="I71" s="11" t="str">
        <f t="shared" si="1"/>
        <v>MEDI SANGEETHA</v>
      </c>
      <c r="J71" s="8">
        <v>3097051248</v>
      </c>
      <c r="K71" s="9" t="s">
        <v>98</v>
      </c>
      <c r="L71" s="9">
        <v>17</v>
      </c>
      <c r="M71" s="8" t="s">
        <v>18</v>
      </c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</row>
    <row r="72" spans="1:35" ht="15.5" x14ac:dyDescent="0.35">
      <c r="A72" s="7">
        <v>71</v>
      </c>
      <c r="B72" s="8">
        <v>1</v>
      </c>
      <c r="C72" s="8" t="s">
        <v>293</v>
      </c>
      <c r="D72" s="13" t="s">
        <v>294</v>
      </c>
      <c r="E72" s="13" t="s">
        <v>23</v>
      </c>
      <c r="F72" s="8">
        <v>6205596324</v>
      </c>
      <c r="G72" s="10" t="s">
        <v>295</v>
      </c>
      <c r="H72" s="13" t="s">
        <v>29</v>
      </c>
      <c r="I72" s="11" t="str">
        <f t="shared" si="1"/>
        <v>N.PARAMESH</v>
      </c>
      <c r="J72" s="8">
        <v>7432877225</v>
      </c>
      <c r="K72" s="9" t="s">
        <v>296</v>
      </c>
      <c r="L72" s="9">
        <v>19</v>
      </c>
      <c r="M72" s="8" t="s">
        <v>18</v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</row>
    <row r="73" spans="1:35" ht="15.5" x14ac:dyDescent="0.35">
      <c r="A73" s="7">
        <v>72</v>
      </c>
      <c r="B73" s="8">
        <v>2</v>
      </c>
      <c r="C73" s="8" t="s">
        <v>297</v>
      </c>
      <c r="D73" s="13" t="s">
        <v>298</v>
      </c>
      <c r="E73" s="13" t="s">
        <v>14</v>
      </c>
      <c r="F73" s="8">
        <v>6578497608</v>
      </c>
      <c r="G73" s="10" t="s">
        <v>299</v>
      </c>
      <c r="H73" s="13" t="s">
        <v>29</v>
      </c>
      <c r="I73" s="11" t="str">
        <f t="shared" si="1"/>
        <v>NAGA CHANDU V</v>
      </c>
      <c r="J73" s="8">
        <v>5642578679</v>
      </c>
      <c r="K73" s="9" t="s">
        <v>300</v>
      </c>
      <c r="L73" s="9">
        <v>21</v>
      </c>
      <c r="M73" s="8" t="s">
        <v>18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</row>
    <row r="74" spans="1:35" ht="15.5" x14ac:dyDescent="0.35">
      <c r="A74" s="7">
        <v>73</v>
      </c>
      <c r="B74" s="8">
        <v>3</v>
      </c>
      <c r="C74" s="8" t="s">
        <v>301</v>
      </c>
      <c r="D74" s="13" t="s">
        <v>302</v>
      </c>
      <c r="E74" s="13" t="s">
        <v>23</v>
      </c>
      <c r="F74" s="8">
        <v>2602080020</v>
      </c>
      <c r="G74" s="10" t="s">
        <v>303</v>
      </c>
      <c r="H74" s="13" t="s">
        <v>29</v>
      </c>
      <c r="I74" s="11" t="str">
        <f t="shared" si="1"/>
        <v>S SAMEER</v>
      </c>
      <c r="J74" s="8">
        <v>2992121341</v>
      </c>
      <c r="K74" s="9" t="s">
        <v>304</v>
      </c>
      <c r="L74" s="9">
        <v>19</v>
      </c>
      <c r="M74" s="8" t="s">
        <v>18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</row>
    <row r="75" spans="1:35" ht="15.5" x14ac:dyDescent="0.35">
      <c r="A75" s="7">
        <v>74</v>
      </c>
      <c r="B75" s="8">
        <v>3</v>
      </c>
      <c r="C75" s="8" t="s">
        <v>305</v>
      </c>
      <c r="D75" s="13" t="s">
        <v>306</v>
      </c>
      <c r="E75" s="13" t="s">
        <v>14</v>
      </c>
      <c r="F75" s="8">
        <v>8796416295</v>
      </c>
      <c r="G75" s="10" t="s">
        <v>307</v>
      </c>
      <c r="H75" s="13" t="s">
        <v>29</v>
      </c>
      <c r="I75" s="11" t="str">
        <f t="shared" si="1"/>
        <v>SALVADI VENKATESH</v>
      </c>
      <c r="J75" s="8">
        <v>2449128279</v>
      </c>
      <c r="K75" s="9" t="s">
        <v>308</v>
      </c>
      <c r="L75" s="9">
        <v>21</v>
      </c>
      <c r="M75" s="8" t="s">
        <v>18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</row>
    <row r="76" spans="1:35" ht="15.5" x14ac:dyDescent="0.35">
      <c r="A76" s="7">
        <v>75</v>
      </c>
      <c r="B76" s="8">
        <v>3</v>
      </c>
      <c r="C76" s="8" t="s">
        <v>309</v>
      </c>
      <c r="D76" s="13" t="s">
        <v>310</v>
      </c>
      <c r="E76" s="13" t="s">
        <v>14</v>
      </c>
      <c r="F76" s="8">
        <v>5978571640</v>
      </c>
      <c r="G76" s="10" t="s">
        <v>311</v>
      </c>
      <c r="H76" s="13" t="s">
        <v>29</v>
      </c>
      <c r="I76" s="11" t="str">
        <f t="shared" si="1"/>
        <v>UPPUNUTHALA PURUSHOTHAM</v>
      </c>
      <c r="J76" s="8">
        <v>1331878499</v>
      </c>
      <c r="K76" s="9" t="s">
        <v>312</v>
      </c>
      <c r="L76" s="9">
        <v>17</v>
      </c>
      <c r="M76" s="8" t="s">
        <v>18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</row>
    <row r="77" spans="1:35" ht="15.5" x14ac:dyDescent="0.35">
      <c r="A77" s="7">
        <v>76</v>
      </c>
      <c r="B77" s="8">
        <v>3</v>
      </c>
      <c r="C77" s="8" t="s">
        <v>313</v>
      </c>
      <c r="D77" s="13" t="s">
        <v>314</v>
      </c>
      <c r="E77" s="13" t="s">
        <v>23</v>
      </c>
      <c r="F77" s="8">
        <v>5716170881</v>
      </c>
      <c r="G77" s="10" t="s">
        <v>315</v>
      </c>
      <c r="H77" s="13" t="s">
        <v>29</v>
      </c>
      <c r="I77" s="11" t="str">
        <f t="shared" si="1"/>
        <v xml:space="preserve">VINAY KUMAR </v>
      </c>
      <c r="J77" s="8">
        <v>4348887066</v>
      </c>
      <c r="K77" s="9" t="s">
        <v>316</v>
      </c>
      <c r="L77" s="9">
        <v>23</v>
      </c>
      <c r="M77" s="8" t="s">
        <v>18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</row>
    <row r="78" spans="1:35" ht="15.5" x14ac:dyDescent="0.35">
      <c r="A78" s="7">
        <v>77</v>
      </c>
      <c r="B78" s="8">
        <v>1</v>
      </c>
      <c r="C78" s="8" t="s">
        <v>317</v>
      </c>
      <c r="D78" s="13" t="s">
        <v>318</v>
      </c>
      <c r="E78" s="13" t="s">
        <v>23</v>
      </c>
      <c r="F78" s="8">
        <v>6927479136</v>
      </c>
      <c r="G78" s="10" t="s">
        <v>319</v>
      </c>
      <c r="H78" s="13" t="s">
        <v>16</v>
      </c>
      <c r="I78" s="11" t="str">
        <f t="shared" si="1"/>
        <v>YARRA NAVYA SAHITHI</v>
      </c>
      <c r="J78" s="8">
        <v>7539369224</v>
      </c>
      <c r="K78" s="9" t="s">
        <v>320</v>
      </c>
      <c r="L78" s="9">
        <v>21</v>
      </c>
      <c r="M78" s="8" t="s">
        <v>18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</row>
    <row r="79" spans="1:35" x14ac:dyDescent="0.35">
      <c r="A79" s="7">
        <v>78</v>
      </c>
      <c r="B79" s="8">
        <v>1</v>
      </c>
      <c r="C79" s="8" t="s">
        <v>321</v>
      </c>
      <c r="D79" s="9" t="s">
        <v>322</v>
      </c>
      <c r="E79" s="9" t="s">
        <v>23</v>
      </c>
      <c r="F79" s="8">
        <v>8625176197</v>
      </c>
      <c r="G79" s="10" t="s">
        <v>323</v>
      </c>
      <c r="H79" s="9" t="s">
        <v>29</v>
      </c>
      <c r="I79" s="11" t="str">
        <f t="shared" si="1"/>
        <v>M. Aravind</v>
      </c>
      <c r="J79" s="8">
        <v>5862892304</v>
      </c>
      <c r="K79" s="12">
        <v>37126</v>
      </c>
      <c r="L79" s="9">
        <v>22</v>
      </c>
      <c r="M79" s="8" t="s">
        <v>18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</row>
    <row r="80" spans="1:35" x14ac:dyDescent="0.35">
      <c r="A80" s="7">
        <v>79</v>
      </c>
      <c r="B80" s="8">
        <v>2</v>
      </c>
      <c r="C80" s="8" t="s">
        <v>324</v>
      </c>
      <c r="D80" s="9" t="s">
        <v>325</v>
      </c>
      <c r="E80" s="9" t="s">
        <v>23</v>
      </c>
      <c r="F80" s="8">
        <v>3221738150</v>
      </c>
      <c r="G80" s="10" t="s">
        <v>326</v>
      </c>
      <c r="H80" s="9" t="s">
        <v>29</v>
      </c>
      <c r="I80" s="11" t="str">
        <f t="shared" si="1"/>
        <v>Surya Kiran</v>
      </c>
      <c r="J80" s="8">
        <v>8285846370</v>
      </c>
      <c r="K80" s="12">
        <v>38010</v>
      </c>
      <c r="L80" s="9">
        <v>19</v>
      </c>
      <c r="M80" s="8" t="s">
        <v>18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</row>
    <row r="81" spans="1:35" x14ac:dyDescent="0.35">
      <c r="A81" s="7">
        <v>80</v>
      </c>
      <c r="B81" s="8">
        <v>2</v>
      </c>
      <c r="C81" s="8" t="s">
        <v>327</v>
      </c>
      <c r="D81" s="9" t="s">
        <v>328</v>
      </c>
      <c r="E81" s="9" t="s">
        <v>23</v>
      </c>
      <c r="F81" s="8">
        <v>2217423855</v>
      </c>
      <c r="G81" s="10" t="s">
        <v>329</v>
      </c>
      <c r="H81" s="9" t="s">
        <v>29</v>
      </c>
      <c r="I81" s="11" t="str">
        <f t="shared" si="1"/>
        <v>B Aravind</v>
      </c>
      <c r="J81" s="8">
        <v>2592482611</v>
      </c>
      <c r="K81" s="14">
        <v>45140</v>
      </c>
      <c r="L81" s="9">
        <v>21</v>
      </c>
      <c r="M81" s="8" t="s">
        <v>18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</row>
    <row r="82" spans="1:35" x14ac:dyDescent="0.35">
      <c r="A82" s="1"/>
      <c r="B82" s="2"/>
      <c r="C82" s="3">
        <v>123</v>
      </c>
      <c r="D82" s="3"/>
      <c r="E82" s="3"/>
      <c r="F82" s="2"/>
      <c r="G82" s="3"/>
      <c r="H82" s="3"/>
      <c r="I82" s="3"/>
      <c r="J82" s="2"/>
      <c r="K82" s="3"/>
      <c r="L82" s="15" t="s">
        <v>330</v>
      </c>
      <c r="M82" s="7">
        <f>COUNTA(M2:M81)</f>
        <v>80</v>
      </c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</row>
    <row r="83" spans="1:35" x14ac:dyDescent="0.35">
      <c r="A83" s="1"/>
      <c r="B83" s="2"/>
      <c r="C83" s="3"/>
      <c r="D83" s="3"/>
      <c r="E83" s="3"/>
      <c r="F83" s="2"/>
      <c r="G83" s="3"/>
      <c r="H83" s="3"/>
      <c r="I83" s="3"/>
      <c r="J83" s="2"/>
      <c r="K83" s="3"/>
      <c r="L83" s="15" t="s">
        <v>331</v>
      </c>
      <c r="M83" s="7">
        <f>COUNTIF(M2:M81,"P")</f>
        <v>59</v>
      </c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</row>
    <row r="84" spans="1:35" x14ac:dyDescent="0.35">
      <c r="A84" s="1"/>
      <c r="B84" s="2"/>
      <c r="C84" s="3"/>
      <c r="D84" s="3"/>
      <c r="E84" s="3"/>
      <c r="F84" s="2"/>
      <c r="G84" s="3"/>
      <c r="H84" s="3"/>
      <c r="I84" s="3"/>
      <c r="J84" s="2"/>
      <c r="K84" s="3"/>
      <c r="L84" s="15" t="s">
        <v>332</v>
      </c>
      <c r="M84" s="7">
        <f>COUNTIF(M3:M82,"A")</f>
        <v>12</v>
      </c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</row>
    <row r="85" spans="1:35" x14ac:dyDescent="0.35">
      <c r="A85" s="1"/>
      <c r="B85" s="2"/>
      <c r="C85" s="3"/>
      <c r="D85" s="3"/>
      <c r="E85" s="3"/>
      <c r="F85" s="2"/>
      <c r="G85" s="3"/>
      <c r="H85" s="3"/>
      <c r="I85" s="3"/>
      <c r="J85" s="2"/>
      <c r="K85" s="3"/>
      <c r="L85" s="15" t="s">
        <v>333</v>
      </c>
      <c r="M85" s="7">
        <f>COUNTIF(M4:M83,"L")</f>
        <v>9</v>
      </c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</row>
  </sheetData>
  <conditionalFormatting sqref="M2">
    <cfRule type="cellIs" dxfId="8" priority="8" operator="equal">
      <formula>"A"</formula>
    </cfRule>
    <cfRule type="cellIs" dxfId="7" priority="9" operator="equal">
      <formula>"P"</formula>
    </cfRule>
  </conditionalFormatting>
  <conditionalFormatting sqref="M2">
    <cfRule type="cellIs" dxfId="6" priority="7" operator="equal">
      <formula>"L"</formula>
    </cfRule>
  </conditionalFormatting>
  <conditionalFormatting sqref="N2:AI2">
    <cfRule type="cellIs" dxfId="5" priority="5" operator="equal">
      <formula>"A"</formula>
    </cfRule>
    <cfRule type="cellIs" dxfId="4" priority="6" operator="equal">
      <formula>"P"</formula>
    </cfRule>
  </conditionalFormatting>
  <conditionalFormatting sqref="N2:AI2">
    <cfRule type="cellIs" dxfId="3" priority="4" operator="equal">
      <formula>"L"</formula>
    </cfRule>
  </conditionalFormatting>
  <conditionalFormatting sqref="M3:AI81">
    <cfRule type="cellIs" dxfId="2" priority="2" operator="equal">
      <formula>"A"</formula>
    </cfRule>
    <cfRule type="cellIs" dxfId="1" priority="3" operator="equal">
      <formula>"P"</formula>
    </cfRule>
  </conditionalFormatting>
  <conditionalFormatting sqref="M3:AI81">
    <cfRule type="cellIs" dxfId="0" priority="1" operator="equal">
      <formula>"L"</formula>
    </cfRule>
  </conditionalFormatting>
  <dataValidations count="1">
    <dataValidation type="list" allowBlank="1" showInputMessage="1" showErrorMessage="1" errorTitle="Select Form the DropDown" error="Select Form the DropDown" sqref="M2:AI81" xr:uid="{3B9CC5D6-AEB5-4F22-AC8C-FF10F3850228}">
      <formula1>"P,A,L"</formula1>
    </dataValidation>
  </dataValidations>
  <hyperlinks>
    <hyperlink ref="G4" r:id="rId1" xr:uid="{39CCB3FA-9AB2-4F08-9818-5A5145F71859}"/>
    <hyperlink ref="G2" r:id="rId2" xr:uid="{83C0FDA4-7A81-4CD7-829D-99DD183B456F}"/>
    <hyperlink ref="G3" r:id="rId3" xr:uid="{0D7F2D8B-D792-417E-AF79-72DC6E74760D}"/>
    <hyperlink ref="G5" r:id="rId4" xr:uid="{9BDC10E1-84DF-4306-93CD-3B2A78024324}"/>
    <hyperlink ref="G6" r:id="rId5" xr:uid="{5BA7AF7C-2471-4D7B-815E-20A4F0FDBEB9}"/>
    <hyperlink ref="G7" r:id="rId6" xr:uid="{2D38FDC7-B014-4086-9EF1-22E009A57154}"/>
    <hyperlink ref="G8" r:id="rId7" xr:uid="{A4A62149-064D-4A42-AFCC-73C5C1F5C8FE}"/>
    <hyperlink ref="G9" r:id="rId8" xr:uid="{28DDFBC1-9167-44E4-98B8-FD19E4B4B52E}"/>
    <hyperlink ref="G10" r:id="rId9" xr:uid="{3B980FC5-D385-48D6-8DE4-501FCBE15F6E}"/>
    <hyperlink ref="G11" r:id="rId10" xr:uid="{2B1EF3AF-D1F8-4020-B61B-8CD5C839CF4E}"/>
    <hyperlink ref="G12" r:id="rId11" xr:uid="{42C888F9-F9C9-482B-B708-BE1BBACC2B56}"/>
    <hyperlink ref="G13" r:id="rId12" xr:uid="{B99E975B-6D11-43AF-9411-B566313ACE79}"/>
    <hyperlink ref="G14" r:id="rId13" xr:uid="{F52A256E-0088-4F13-9CFB-6B802A585F47}"/>
    <hyperlink ref="G15" r:id="rId14" xr:uid="{3AB1286F-6BD4-4ED1-94C1-60D63C5FD048}"/>
    <hyperlink ref="G16" r:id="rId15" xr:uid="{8CD6FE68-18AA-40B5-8790-4187306F5331}"/>
    <hyperlink ref="G17" r:id="rId16" xr:uid="{5186E97F-D605-495A-A9C8-1DA985393F99}"/>
    <hyperlink ref="G18" r:id="rId17" xr:uid="{AA7A75AC-5CE2-4AE2-BC82-05D2C2581817}"/>
    <hyperlink ref="G19" r:id="rId18" xr:uid="{0EDA6C08-6B49-4210-BCC3-12B40B1A89E0}"/>
    <hyperlink ref="G20" r:id="rId19" xr:uid="{9E9CB5B5-4737-46CF-8AE8-93EE72AC7A37}"/>
    <hyperlink ref="G21" r:id="rId20" xr:uid="{D9C69296-DF25-49C4-96BC-1816F0927DE4}"/>
    <hyperlink ref="G22" r:id="rId21" xr:uid="{50D7311B-F1C1-458A-B657-1474AA67668C}"/>
    <hyperlink ref="G23" r:id="rId22" xr:uid="{27CAA861-9D1B-4E1B-81EE-5D130B730B06}"/>
    <hyperlink ref="G24" r:id="rId23" xr:uid="{07339505-10F6-4DC1-9893-00C1CCD67FAB}"/>
    <hyperlink ref="G25" r:id="rId24" xr:uid="{FD1D167D-84F2-4198-9097-45406F95B940}"/>
    <hyperlink ref="G26" r:id="rId25" xr:uid="{6723C613-9A81-40A7-9ED4-F60EFEAE9388}"/>
    <hyperlink ref="G27" r:id="rId26" xr:uid="{122F4DF4-B9FC-4667-91CC-54FC53563502}"/>
    <hyperlink ref="G28" r:id="rId27" xr:uid="{844110BB-014B-4A95-82E1-41834CAA4610}"/>
    <hyperlink ref="G29" r:id="rId28" xr:uid="{51FF0319-5711-42D6-9391-F5435E8BB659}"/>
    <hyperlink ref="G30" r:id="rId29" xr:uid="{F571A721-AE88-4DE7-AA62-C15DDC3F3F0F}"/>
    <hyperlink ref="G31" r:id="rId30" xr:uid="{59F37D73-9FEF-43E0-951B-B972607285E9}"/>
    <hyperlink ref="G32" r:id="rId31" xr:uid="{311A867F-05D4-4131-810A-A71BE0C61202}"/>
    <hyperlink ref="G33" r:id="rId32" xr:uid="{3524237D-B845-43A9-8133-D08B4A3C8B8E}"/>
    <hyperlink ref="G34" r:id="rId33" xr:uid="{D6E77A50-00E3-4254-87BC-138E819E7E60}"/>
    <hyperlink ref="G35" r:id="rId34" xr:uid="{D9F4A83B-ACB2-4818-A562-5D7CCAC94BE4}"/>
    <hyperlink ref="G36" r:id="rId35" xr:uid="{799560C7-0BC1-4D8C-A4BC-0086C1E1993A}"/>
    <hyperlink ref="G37" r:id="rId36" xr:uid="{9C030F0D-5CE5-451B-944D-1AF8B481E7FD}"/>
    <hyperlink ref="G38" r:id="rId37" xr:uid="{15EAF358-AEFB-4BA2-A1A9-71F830FA576F}"/>
    <hyperlink ref="G39" r:id="rId38" xr:uid="{065CEBE7-080F-4032-B40C-B89CFD7DBAEB}"/>
    <hyperlink ref="G40" r:id="rId39" xr:uid="{27F597C8-D258-4798-B767-1F299CF7071F}"/>
    <hyperlink ref="G41" r:id="rId40" xr:uid="{CAD14F2E-826E-4079-8870-E4438576557C}"/>
    <hyperlink ref="G42" r:id="rId41" xr:uid="{A80572AA-B56F-4441-845D-15CC0185347D}"/>
    <hyperlink ref="G43" r:id="rId42" xr:uid="{9F5F064C-9777-4C27-8AA0-FD8E845F344B}"/>
    <hyperlink ref="G44" r:id="rId43" xr:uid="{58B4555B-AD70-4715-83C0-A62269861BCB}"/>
    <hyperlink ref="G45" r:id="rId44" xr:uid="{23D267ED-6266-4330-8BA6-5D7A385610C2}"/>
    <hyperlink ref="G46" r:id="rId45" xr:uid="{95BC69D6-123A-488F-ADC7-CEE040DE4AA2}"/>
    <hyperlink ref="G47" r:id="rId46" xr:uid="{AB218FEC-6EA5-4CD5-896B-41FC12FB91B9}"/>
    <hyperlink ref="G48" r:id="rId47" xr:uid="{7C8A6689-16B0-440A-A7B9-3E4B8E8F53AA}"/>
    <hyperlink ref="G49" r:id="rId48" xr:uid="{C835B055-9B37-4384-9737-F3A411BD9F77}"/>
    <hyperlink ref="G50" r:id="rId49" xr:uid="{EEE711DF-713D-4726-882E-9C4E8FC7AC41}"/>
    <hyperlink ref="G51" r:id="rId50" xr:uid="{C78AD1A7-B438-4EB7-91C2-F59E3E5BEE2E}"/>
    <hyperlink ref="G52" r:id="rId51" xr:uid="{56DB0C80-562D-413D-8D82-5822F5031AA6}"/>
    <hyperlink ref="G53" r:id="rId52" xr:uid="{5CBA637C-4173-43FD-84BF-C7DC5A76E68D}"/>
    <hyperlink ref="G54" r:id="rId53" xr:uid="{781CFD78-82F2-4DBA-9A31-E20ED78F2B2C}"/>
    <hyperlink ref="G55" r:id="rId54" xr:uid="{707A13C1-2FBD-4A1D-846A-B93B4C2E336B}"/>
    <hyperlink ref="G56" r:id="rId55" xr:uid="{F586903A-B68C-4FFE-B64B-295AD4BBAF76}"/>
    <hyperlink ref="G57" r:id="rId56" xr:uid="{D6370076-1920-4BC3-A28E-4FE805E33ED2}"/>
    <hyperlink ref="G58" r:id="rId57" xr:uid="{1246805C-78C9-4C00-A2D8-2EF96CD2658E}"/>
    <hyperlink ref="G59" r:id="rId58" xr:uid="{E5B02717-0DCD-472C-924F-58C468C5A83B}"/>
    <hyperlink ref="G60" r:id="rId59" xr:uid="{D19F776F-5A50-44D8-BA06-7A9B8ECE2FE7}"/>
    <hyperlink ref="G61" r:id="rId60" xr:uid="{7FC4E611-3DD9-47FC-9BD9-338D162AAE4D}"/>
    <hyperlink ref="G62" r:id="rId61" xr:uid="{A5A64B76-EB3A-4EB6-91F5-2CD09D942B34}"/>
    <hyperlink ref="G63" r:id="rId62" xr:uid="{BE9619C4-6319-4245-B189-520B1648E9AE}"/>
    <hyperlink ref="G64" r:id="rId63" xr:uid="{603ACDD1-7DD4-4C89-B2AA-BD29BA7AF5A8}"/>
    <hyperlink ref="G65" r:id="rId64" xr:uid="{FD63B3BD-ECDC-4FCC-8A2C-F0C4F6CB0213}"/>
    <hyperlink ref="G66" r:id="rId65" xr:uid="{C9B9C16A-85B7-4D77-B3A5-7094A78B09D5}"/>
    <hyperlink ref="G67" r:id="rId66" xr:uid="{BFEF93E0-79C0-412D-881D-F0E36DA8B4A2}"/>
    <hyperlink ref="G68" r:id="rId67" xr:uid="{07CC2B42-060B-46AC-B757-F549831BBCD0}"/>
    <hyperlink ref="G69" r:id="rId68" xr:uid="{EF314657-6709-499A-985B-5CE0736E2E33}"/>
    <hyperlink ref="G70" r:id="rId69" xr:uid="{43CF3926-4105-46FD-8112-E25AD1F28BE8}"/>
    <hyperlink ref="G71" r:id="rId70" xr:uid="{5B576BF1-30D4-4C3A-B31A-6C8A1332D15B}"/>
    <hyperlink ref="G72" r:id="rId71" xr:uid="{06A7F503-0ACF-41E6-8978-754BBA9B4045}"/>
    <hyperlink ref="G73" r:id="rId72" xr:uid="{BC5A4530-9040-4108-A015-45823E08169F}"/>
    <hyperlink ref="G74" r:id="rId73" xr:uid="{0808D177-A208-45D2-8C36-C7E0821B3E46}"/>
    <hyperlink ref="G75" r:id="rId74" xr:uid="{2F244872-D38D-46D5-9D85-04D3B11D9D76}"/>
    <hyperlink ref="G76" r:id="rId75" xr:uid="{BDC25B0D-AD35-4CC0-8ACA-364D87EFE5FC}"/>
    <hyperlink ref="G77" r:id="rId76" xr:uid="{11C38D27-DF6B-4A49-85C7-3A64FB5FF8DE}"/>
    <hyperlink ref="G78" r:id="rId77" xr:uid="{0809DFF8-633D-46A2-8B6C-2B9C9DB82A8C}"/>
    <hyperlink ref="G79" r:id="rId78" xr:uid="{B6DEEA74-274C-4BDA-A110-C5436332283A}"/>
    <hyperlink ref="G80" r:id="rId79" xr:uid="{0464876A-FF24-4E33-9CD3-D2E42A4F0DCA}"/>
    <hyperlink ref="G81" r:id="rId80" xr:uid="{93112EBC-AA18-46BF-A352-A6F69A1F3C5E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EA15-3066-4C07-890E-F9E5378B34E7}">
  <dimension ref="D2:M10"/>
  <sheetViews>
    <sheetView showGridLines="0" tabSelected="1" workbookViewId="0">
      <selection activeCell="D11" sqref="D11:D15"/>
    </sheetView>
  </sheetViews>
  <sheetFormatPr defaultRowHeight="14.5" x14ac:dyDescent="0.35"/>
  <cols>
    <col min="4" max="4" width="18.90625" bestFit="1" customWidth="1"/>
    <col min="5" max="5" width="28.1796875" customWidth="1"/>
    <col min="6" max="6" width="23" customWidth="1"/>
    <col min="7" max="7" width="20.1796875" customWidth="1"/>
    <col min="8" max="8" width="17.36328125" customWidth="1"/>
    <col min="9" max="9" width="13.6328125" customWidth="1"/>
    <col min="10" max="10" width="23.453125" bestFit="1" customWidth="1"/>
    <col min="11" max="11" width="17.36328125" bestFit="1" customWidth="1"/>
    <col min="12" max="12" width="9.7265625" customWidth="1"/>
    <col min="13" max="13" width="4.26953125" bestFit="1" customWidth="1"/>
  </cols>
  <sheetData>
    <row r="2" spans="4:13" x14ac:dyDescent="0.35">
      <c r="J2" s="18"/>
      <c r="K2" s="18"/>
      <c r="L2" s="18"/>
      <c r="M2" s="18"/>
    </row>
    <row r="3" spans="4:13" x14ac:dyDescent="0.35">
      <c r="J3" s="19"/>
      <c r="K3" s="19"/>
      <c r="L3" s="19"/>
      <c r="M3" s="19"/>
    </row>
    <row r="4" spans="4:13" x14ac:dyDescent="0.35">
      <c r="J4" s="19"/>
      <c r="K4" s="19"/>
      <c r="L4" s="19"/>
      <c r="M4" s="19"/>
    </row>
    <row r="5" spans="4:13" ht="15.5" x14ac:dyDescent="0.35">
      <c r="D5" s="5" t="s">
        <v>2</v>
      </c>
      <c r="E5" s="5" t="s">
        <v>3</v>
      </c>
      <c r="F5" s="5" t="s">
        <v>4</v>
      </c>
      <c r="G5" s="4" t="s">
        <v>5</v>
      </c>
      <c r="H5" s="5" t="s">
        <v>6</v>
      </c>
      <c r="I5" s="5" t="s">
        <v>7</v>
      </c>
      <c r="J5" s="20"/>
      <c r="K5" s="21"/>
      <c r="L5" s="20"/>
      <c r="M5" s="20"/>
    </row>
    <row r="6" spans="4:13" x14ac:dyDescent="0.35">
      <c r="D6" s="17"/>
      <c r="E6" s="17"/>
      <c r="F6" s="17"/>
      <c r="G6" s="17"/>
      <c r="H6" s="17"/>
      <c r="I6" s="17"/>
      <c r="J6" s="19"/>
      <c r="K6" s="19"/>
      <c r="L6" s="19"/>
      <c r="M6" s="19"/>
    </row>
    <row r="7" spans="4:13" x14ac:dyDescent="0.35">
      <c r="J7" s="19"/>
      <c r="K7" s="19"/>
      <c r="L7" s="19"/>
      <c r="M7" s="19"/>
    </row>
    <row r="8" spans="4:13" x14ac:dyDescent="0.35">
      <c r="J8" s="19"/>
      <c r="K8" s="19"/>
      <c r="L8" s="19"/>
      <c r="M8" s="19"/>
    </row>
    <row r="9" spans="4:13" x14ac:dyDescent="0.35">
      <c r="J9" s="19"/>
      <c r="K9" s="19"/>
      <c r="L9" s="19"/>
      <c r="M9" s="19"/>
    </row>
    <row r="10" spans="4:13" x14ac:dyDescent="0.35">
      <c r="J10" s="19"/>
      <c r="K10" s="19"/>
      <c r="L10" s="19"/>
      <c r="M10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Vlookup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2026-05-14T08:41:28Z</dcterms:created>
  <dcterms:modified xsi:type="dcterms:W3CDTF">2026-05-14T09:08:28Z</dcterms:modified>
</cp:coreProperties>
</file>