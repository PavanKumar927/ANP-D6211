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6211\Excel\"/>
    </mc:Choice>
  </mc:AlternateContent>
  <xr:revisionPtr revIDLastSave="0" documentId="13_ncr:1_{BE8FA33A-5416-47D5-8341-A8636073B955}" xr6:coauthVersionLast="37" xr6:coauthVersionMax="37" xr10:uidLastSave="{00000000-0000-0000-0000-000000000000}"/>
  <bookViews>
    <workbookView xWindow="0" yWindow="0" windowWidth="7680" windowHeight="10930" firstSheet="2" activeTab="8" xr2:uid="{283383FA-06D3-45BA-9C1B-BAA55A9A2CC4}"/>
  </bookViews>
  <sheets>
    <sheet name="RawData" sheetId="1" r:id="rId1"/>
    <sheet name="Vlookup" sheetId="2" r:id="rId2"/>
    <sheet name="VData" sheetId="4" r:id="rId3"/>
    <sheet name="VResult" sheetId="5" r:id="rId4"/>
    <sheet name="VMatch" sheetId="11" r:id="rId5"/>
    <sheet name="HData" sheetId="6" r:id="rId6"/>
    <sheet name="HResult" sheetId="7" r:id="rId7"/>
    <sheet name="Liminations" sheetId="8" r:id="rId8"/>
    <sheet name="IndexAndMatch" sheetId="9" r:id="rId9"/>
    <sheet name="XLookup" sheetId="10" r:id="rId10"/>
  </sheets>
  <definedNames>
    <definedName name="_xlnm._FilterDatabase" localSheetId="0" hidden="1">RawData!$A$1:$AI$85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" i="9" l="1"/>
  <c r="J27" i="9"/>
  <c r="I26" i="9"/>
  <c r="J26" i="9"/>
  <c r="K26" i="9"/>
  <c r="I27" i="9"/>
  <c r="J25" i="9"/>
  <c r="K25" i="9"/>
  <c r="I25" i="9"/>
  <c r="J24" i="9"/>
  <c r="K24" i="9"/>
  <c r="I24" i="9"/>
  <c r="H12" i="9"/>
  <c r="H5" i="9"/>
  <c r="F6" i="5" l="1"/>
  <c r="I19" i="9"/>
  <c r="K18" i="9"/>
  <c r="J18" i="9"/>
  <c r="I18" i="9"/>
  <c r="I5" i="9"/>
  <c r="I6" i="9"/>
  <c r="H6" i="9"/>
  <c r="J8" i="8"/>
  <c r="J14" i="8"/>
  <c r="L8" i="8"/>
  <c r="K8" i="8"/>
  <c r="H8" i="7"/>
  <c r="G8" i="7"/>
  <c r="G6" i="5"/>
  <c r="I6" i="2" l="1"/>
  <c r="H6" i="2"/>
  <c r="G6" i="2"/>
  <c r="F6" i="2"/>
  <c r="E6" i="2" l="1"/>
  <c r="M83" i="1"/>
  <c r="M82" i="1"/>
  <c r="M84" i="1" s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N3" i="1"/>
  <c r="I3" i="1"/>
  <c r="I2" i="1"/>
  <c r="M8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Anudip1</author>
  </authors>
  <commentList>
    <comment ref="I18" authorId="0" shapeId="0" xr:uid="{1181C973-9148-4CED-A776-2C4B1F30240C}">
      <text>
        <r>
          <rPr>
            <b/>
            <sz val="9"/>
            <color indexed="81"/>
            <rFont val="Tahoma"/>
            <family val="2"/>
          </rPr>
          <t>Anudip1:</t>
        </r>
        <r>
          <rPr>
            <sz val="9"/>
            <color indexed="81"/>
            <rFont val="Tahoma"/>
            <family val="2"/>
          </rPr>
          <t xml:space="preserve">
Getting wrong result because inserted a new column </t>
        </r>
      </text>
    </comment>
  </commentList>
</comments>
</file>

<file path=xl/sharedStrings.xml><?xml version="1.0" encoding="utf-8"?>
<sst xmlns="http://schemas.openxmlformats.org/spreadsheetml/2006/main" count="1791" uniqueCount="425">
  <si>
    <t>S.No</t>
  </si>
  <si>
    <t>Cohort</t>
  </si>
  <si>
    <t>Enrollment number</t>
  </si>
  <si>
    <t>Name of the Student</t>
  </si>
  <si>
    <t>Specialization</t>
  </si>
  <si>
    <t>MobileNo</t>
  </si>
  <si>
    <t>Mail IDs</t>
  </si>
  <si>
    <t>Gender</t>
  </si>
  <si>
    <t>Name According to Bank</t>
  </si>
  <si>
    <t>Parent Mobile NO</t>
  </si>
  <si>
    <t>DOB</t>
  </si>
  <si>
    <t>Age</t>
  </si>
  <si>
    <t>0223CPIT001</t>
  </si>
  <si>
    <t>NIKITHA ADULA</t>
  </si>
  <si>
    <t>ITES</t>
  </si>
  <si>
    <t>nikitha.itesites@gmail.com</t>
  </si>
  <si>
    <t>Female</t>
  </si>
  <si>
    <t>01.01.2005</t>
  </si>
  <si>
    <t>P</t>
  </si>
  <si>
    <t>A</t>
  </si>
  <si>
    <t>L</t>
  </si>
  <si>
    <t>0223CPIT002</t>
  </si>
  <si>
    <t>ADULA LIKHITHA</t>
  </si>
  <si>
    <t>Full Stack</t>
  </si>
  <si>
    <t>adulalikitha.fullstack@gmail.com</t>
  </si>
  <si>
    <t>06.10.2002</t>
  </si>
  <si>
    <t>0223CPIT003</t>
  </si>
  <si>
    <t>AKASH RAJPOOT</t>
  </si>
  <si>
    <t>akashrajpoot.fullstack@gmail.com</t>
  </si>
  <si>
    <t>Male</t>
  </si>
  <si>
    <t>09.06.2004</t>
  </si>
  <si>
    <t>0223CPIT004</t>
  </si>
  <si>
    <t>ALOK KUMAR</t>
  </si>
  <si>
    <t>alokkumar.fullstack@gmail.com</t>
  </si>
  <si>
    <t>28.03.2004</t>
  </si>
  <si>
    <t>0223CPIT005</t>
  </si>
  <si>
    <t>AYUSHMAN SINGH BAGHEL</t>
  </si>
  <si>
    <t>ayushmansinghbaghel.fullstack@gmail.com</t>
  </si>
  <si>
    <t>02.12.2005</t>
  </si>
  <si>
    <t>0223CPIT006</t>
  </si>
  <si>
    <t>B SANDEEP ROY</t>
  </si>
  <si>
    <t>bsandeeproy.itesites@gmail.com</t>
  </si>
  <si>
    <t>10.07.1998</t>
  </si>
  <si>
    <t>0223CPIT007</t>
  </si>
  <si>
    <t>B. SRINIVASULU</t>
  </si>
  <si>
    <t>bsrinivasulu.fullstack@gmail.com</t>
  </si>
  <si>
    <t>16.06.2005</t>
  </si>
  <si>
    <t>0223CPIT008</t>
  </si>
  <si>
    <t>BAIRI PRATHYUSH</t>
  </si>
  <si>
    <t>bairiprathyush.fullstack@gmail.com</t>
  </si>
  <si>
    <t>02.08.2002</t>
  </si>
  <si>
    <t>0223CPIT009</t>
  </si>
  <si>
    <t>BANDAPALLI GANGABHAVANI</t>
  </si>
  <si>
    <t>bandapalligangabhavani.itesites@gmail.com</t>
  </si>
  <si>
    <t>10.11.2001</t>
  </si>
  <si>
    <t>0223CPIT010</t>
  </si>
  <si>
    <t>BURRI VINITHA</t>
  </si>
  <si>
    <t>burrivinitha.fullstack@gmail.com</t>
  </si>
  <si>
    <t>12.09.2004</t>
  </si>
  <si>
    <t>0223CPIT011</t>
  </si>
  <si>
    <t>CHANDRA SAMPATH KUMAR</t>
  </si>
  <si>
    <t>chandrasampathkumar.fullstack@gmail.com</t>
  </si>
  <si>
    <t>09.12.2002</t>
  </si>
  <si>
    <t>0223CPIT012</t>
  </si>
  <si>
    <t>CHINNAKOTLA SURYA TEJA</t>
  </si>
  <si>
    <t>chinnakotlasuryateja.fullstack@gmail.com</t>
  </si>
  <si>
    <t>23.03.2001</t>
  </si>
  <si>
    <t>0223CPIT013</t>
  </si>
  <si>
    <t>DASARI VIMALA</t>
  </si>
  <si>
    <t>dasarivimala.fullstack@gmail.com</t>
  </si>
  <si>
    <t>01.10.2003</t>
  </si>
  <si>
    <t>0223CPIT014</t>
  </si>
  <si>
    <t>DEVALLA DEEPAK</t>
  </si>
  <si>
    <t>devalladeepak.itesites@gmail.com</t>
  </si>
  <si>
    <t>30.01.2006</t>
  </si>
  <si>
    <t>0223CPIT015</t>
  </si>
  <si>
    <t>DEVKATHE KOMAL</t>
  </si>
  <si>
    <t>devkathekomal.fullstack@gmail.com</t>
  </si>
  <si>
    <t>09.03.2003</t>
  </si>
  <si>
    <t>0223CPIT016</t>
  </si>
  <si>
    <t>EERAMMAGARI RAVITEJA</t>
  </si>
  <si>
    <t>eerammagariraviteja.fullstack@gmail.com</t>
  </si>
  <si>
    <t>15.06.2005</t>
  </si>
  <si>
    <t>0223CPIT017</t>
  </si>
  <si>
    <t>ELLENDULA SUPRIYA</t>
  </si>
  <si>
    <t>ellendulasupriya.itesites@gmail.com</t>
  </si>
  <si>
    <t>02.11.2003</t>
  </si>
  <si>
    <t>0223CPIT018</t>
  </si>
  <si>
    <t>GADIYARAM VARSHA</t>
  </si>
  <si>
    <t>gadiyaramvarsha.fullstack@gmail.com</t>
  </si>
  <si>
    <t>26.08.2006</t>
  </si>
  <si>
    <t>0223CPIT019</t>
  </si>
  <si>
    <t>GAIKWAD SRUSHTI</t>
  </si>
  <si>
    <t>gaikwadsrushti.fullstack@gmail.com</t>
  </si>
  <si>
    <t>06.12.2003</t>
  </si>
  <si>
    <t>0223CPIT020</t>
  </si>
  <si>
    <t>GAJJELA GIRI</t>
  </si>
  <si>
    <t>gajjelagiri.itesites@gmail.com</t>
  </si>
  <si>
    <t>01.01.2006</t>
  </si>
  <si>
    <t>0223CPIT021</t>
  </si>
  <si>
    <t>GARAPATI GAYATHRI</t>
  </si>
  <si>
    <t>garapatigayathri.itesites@gmail.com</t>
  </si>
  <si>
    <t>11.04.2002</t>
  </si>
  <si>
    <t>0223CPIT022</t>
  </si>
  <si>
    <t>GOLI SAI LOKESH</t>
  </si>
  <si>
    <t>golisailokesh.fullstack@gmail.com</t>
  </si>
  <si>
    <t>13.01.2003</t>
  </si>
  <si>
    <t>0223CPIT023</t>
  </si>
  <si>
    <t>GURRAM YAMINI</t>
  </si>
  <si>
    <t>gurramyamini.fullstack@gmail.com</t>
  </si>
  <si>
    <t>21.07.2002</t>
  </si>
  <si>
    <t>0223CPIT024</t>
  </si>
  <si>
    <t>HARI OM RAI</t>
  </si>
  <si>
    <t>hariomrai.fullstack@gmail.com</t>
  </si>
  <si>
    <t>01.07.2005</t>
  </si>
  <si>
    <t>0223CPIT025</t>
  </si>
  <si>
    <t>JADHAV YOGESH DHARAMSIGH</t>
  </si>
  <si>
    <t>jadhavyogeshdharamsigh.fullstack@gmail.com</t>
  </si>
  <si>
    <t>10.06.2004</t>
  </si>
  <si>
    <t>0223CPIT026</t>
  </si>
  <si>
    <t>K. SANTOSHI</t>
  </si>
  <si>
    <t>ksantoshi.fullstack@gmail.com</t>
  </si>
  <si>
    <t>13.10.1996</t>
  </si>
  <si>
    <t>0223CPIT027</t>
  </si>
  <si>
    <t>KALIGOTA NIHARIKA</t>
  </si>
  <si>
    <t>kaligotaniharika.itesites@gmail.com</t>
  </si>
  <si>
    <t>26.11.2005</t>
  </si>
  <si>
    <t>0223CPIT028</t>
  </si>
  <si>
    <t>KALPANA KODARI</t>
  </si>
  <si>
    <t>kalpanakodari.fullstack@gmail.com</t>
  </si>
  <si>
    <t>18.03.2001</t>
  </si>
  <si>
    <t>0223CPIT029</t>
  </si>
  <si>
    <t>KANCHA AKASH</t>
  </si>
  <si>
    <t>kanchaakash.fullstack@gmail.com</t>
  </si>
  <si>
    <t>18.01.2003</t>
  </si>
  <si>
    <t>0223CPIT030</t>
  </si>
  <si>
    <t>KASTURI SAI MAHESH</t>
  </si>
  <si>
    <t>kasturisaimahesh.fullstack@gmail.com</t>
  </si>
  <si>
    <t>28.02.2006</t>
  </si>
  <si>
    <t>0223CPIT031</t>
  </si>
  <si>
    <t>LOVE TIWARI</t>
  </si>
  <si>
    <t>lovetiwari.fullstack@gmail.com</t>
  </si>
  <si>
    <t>05.08.2001</t>
  </si>
  <si>
    <t>0223CPIT032</t>
  </si>
  <si>
    <t>M. BALAJI</t>
  </si>
  <si>
    <t>mbalaji.itesites@gmail.com</t>
  </si>
  <si>
    <t>29.07.2004</t>
  </si>
  <si>
    <t>0223CPIT033</t>
  </si>
  <si>
    <t>MADHI VAISHNAVI</t>
  </si>
  <si>
    <t>madhivaishnavi.itesites@gmail.com</t>
  </si>
  <si>
    <t>0223CPIT034</t>
  </si>
  <si>
    <t>MANDALOJU NAGALAXMI</t>
  </si>
  <si>
    <t>mandalojunagalaxmi.fullstack@gmail.com</t>
  </si>
  <si>
    <t>15.07.2005</t>
  </si>
  <si>
    <t>0223CPIT035</t>
  </si>
  <si>
    <t>MANIKYALA RAMADEVI</t>
  </si>
  <si>
    <t>manikyalaramadevi.fullstack@gmail.com</t>
  </si>
  <si>
    <t>10.07.2005</t>
  </si>
  <si>
    <t>0223CPIT036</t>
  </si>
  <si>
    <t>MASKA PAVANI</t>
  </si>
  <si>
    <t>maskapavani.itesites@gmail.com</t>
  </si>
  <si>
    <t>04.04.2006</t>
  </si>
  <si>
    <t>0223CPIT037</t>
  </si>
  <si>
    <t>MEGHAGNI MUKHERJEE</t>
  </si>
  <si>
    <t>meghagnimukherjee.fullstack@gmail.com</t>
  </si>
  <si>
    <t>14.09.2005</t>
  </si>
  <si>
    <t>0223CPIT038</t>
  </si>
  <si>
    <t>N LAXMI NARASIMHA</t>
  </si>
  <si>
    <t>nlaxminarasimha.fullstack@gmail.com</t>
  </si>
  <si>
    <t>10.06.2005</t>
  </si>
  <si>
    <t>0223CPIT039</t>
  </si>
  <si>
    <t>NANAPURAJ LAHARIKA</t>
  </si>
  <si>
    <t>nanapurajlaharika.itesites@gmail.com</t>
  </si>
  <si>
    <t>15.04.2003</t>
  </si>
  <si>
    <t>0223CPIT040</t>
  </si>
  <si>
    <t>NARRA VENKATA SAI</t>
  </si>
  <si>
    <t>narravenkatasai.itesites@gmail.com</t>
  </si>
  <si>
    <t>02.10.2002</t>
  </si>
  <si>
    <t>0223CPIT041</t>
  </si>
  <si>
    <t>NAVUDU TEJESH</t>
  </si>
  <si>
    <t>navudutejesh.itesites@gmail.com</t>
  </si>
  <si>
    <t>30.11.2005</t>
  </si>
  <si>
    <t>0223CPIT042</t>
  </si>
  <si>
    <t>PALLEY SHRAVANI</t>
  </si>
  <si>
    <t>palleyshravani.itesites@gmail.com</t>
  </si>
  <si>
    <t>0223CPIT043</t>
  </si>
  <si>
    <t>PAPAKANTI RAJU</t>
  </si>
  <si>
    <t>papakantiraju.fullstack@gmail.com</t>
  </si>
  <si>
    <t>02.10.2001</t>
  </si>
  <si>
    <t>0223CPIT044</t>
  </si>
  <si>
    <t>PRATAPAGIRI NEELAKANTA SASTRY</t>
  </si>
  <si>
    <t>pratapagirineelakantasastry.fullstack@gmail.com</t>
  </si>
  <si>
    <t>26.06.1999</t>
  </si>
  <si>
    <t>0223CPIT045</t>
  </si>
  <si>
    <t>PRAVEEN RAJPOOT</t>
  </si>
  <si>
    <t>praveenrajpoot.fullstack@gmail.com</t>
  </si>
  <si>
    <t>04.06.2004</t>
  </si>
  <si>
    <t>0223CPIT046</t>
  </si>
  <si>
    <t>R. VIGNESH</t>
  </si>
  <si>
    <t>rvignesh.itesites@gmail.com</t>
  </si>
  <si>
    <t>13.10.2004</t>
  </si>
  <si>
    <t>0223CPIT047</t>
  </si>
  <si>
    <t>RACHAMANDUGU AJAYKUMAR</t>
  </si>
  <si>
    <t>rachamanduguajaykumar.fullstack@gmail.com</t>
  </si>
  <si>
    <t>09.09.2004</t>
  </si>
  <si>
    <t>0223CPIT048</t>
  </si>
  <si>
    <t>REVALLI NAGESHWARI</t>
  </si>
  <si>
    <t>revallinageshwari.fullstack@gmail.com</t>
  </si>
  <si>
    <t>10.04.2003</t>
  </si>
  <si>
    <t>0223CPIT049</t>
  </si>
  <si>
    <t>ROHIT REDDY</t>
  </si>
  <si>
    <t>rohitreddy.itesites@gmail.com</t>
  </si>
  <si>
    <t>25.12.2005</t>
  </si>
  <si>
    <t>0223CPIT050</t>
  </si>
  <si>
    <t>RUCHI RANJAN</t>
  </si>
  <si>
    <t>ruchiranjan.fullstack@gmail.com</t>
  </si>
  <si>
    <t>02.02.2005</t>
  </si>
  <si>
    <t>0223CPIT051</t>
  </si>
  <si>
    <t>SHAIK FAHAD</t>
  </si>
  <si>
    <t>shaikfahad.itesites@gmail.com</t>
  </si>
  <si>
    <t>13.09.2004</t>
  </si>
  <si>
    <t>0223CPIT052</t>
  </si>
  <si>
    <t>SHAIK SAMEER AHMED</t>
  </si>
  <si>
    <t>shaiksameerahmed.fullstack@gmail.com</t>
  </si>
  <si>
    <t>26.12.2003</t>
  </si>
  <si>
    <t>0223CPIT053</t>
  </si>
  <si>
    <t>SHEJUL BALAJI RAMESHWAR</t>
  </si>
  <si>
    <t>shejulbalajirameshwar.fullstack@gmail.com</t>
  </si>
  <si>
    <t>23.09.2003</t>
  </si>
  <si>
    <t>0223CPIT054</t>
  </si>
  <si>
    <t>SHOAIB AKHTAR</t>
  </si>
  <si>
    <t>shoaibakhtar.fullstack@gmail.com</t>
  </si>
  <si>
    <t>05.06.2004</t>
  </si>
  <si>
    <t>0223CPIT055</t>
  </si>
  <si>
    <t>SINGAM KRISHNA VENI</t>
  </si>
  <si>
    <t>singamkrishnaveni.fullstack@gmail.com</t>
  </si>
  <si>
    <t>06.09.2004</t>
  </si>
  <si>
    <t>0223CPIT056</t>
  </si>
  <si>
    <t>SINGUDASU PALLAVI</t>
  </si>
  <si>
    <t>singudasupallavi.fullstack@gmail.com</t>
  </si>
  <si>
    <t>28.02.2005</t>
  </si>
  <si>
    <t>0223CPIT057</t>
  </si>
  <si>
    <t>SUBHASHIS PAL</t>
  </si>
  <si>
    <t>subhashispal.itesites@gmail.com</t>
  </si>
  <si>
    <t>01.11.2004</t>
  </si>
  <si>
    <t>0223CPIT058</t>
  </si>
  <si>
    <t>SUJEET KUMAR</t>
  </si>
  <si>
    <t>sujeetkumar.fullstack@gmail.com</t>
  </si>
  <si>
    <t>15.08.2005</t>
  </si>
  <si>
    <t>0223CPIT059</t>
  </si>
  <si>
    <t>SURUCHI RANJAN</t>
  </si>
  <si>
    <t>suruchiranjan.fullstack@gmail.com</t>
  </si>
  <si>
    <t>0223CPIT060</t>
  </si>
  <si>
    <t>SUVENDU KHATUA</t>
  </si>
  <si>
    <t>suvendukhatua.itesites@gmail.com</t>
  </si>
  <si>
    <t>02.03.2004</t>
  </si>
  <si>
    <t>0223CPIT061</t>
  </si>
  <si>
    <t>SYED ABDUL HAKEEM</t>
  </si>
  <si>
    <t>syedabdulhakeem.fullstack@gmail.com</t>
  </si>
  <si>
    <t>17.11.2004</t>
  </si>
  <si>
    <t>0223CPIT062</t>
  </si>
  <si>
    <t>SYED ABDUL HALEEM</t>
  </si>
  <si>
    <t>syedabdulhaleem.fullstack@gmail.com</t>
  </si>
  <si>
    <t>0223CPIT063</t>
  </si>
  <si>
    <t>SYED ADIL</t>
  </si>
  <si>
    <t>syedadil.itesites@gmail.com</t>
  </si>
  <si>
    <t>04.01.2006</t>
  </si>
  <si>
    <t>0223CPIT064</t>
  </si>
  <si>
    <t>VELUPULA SUNIL KUMAR</t>
  </si>
  <si>
    <t>velupulasunilkumar.fullstack@gmail.com</t>
  </si>
  <si>
    <t>11.09.2003</t>
  </si>
  <si>
    <t>0223CPIT065</t>
  </si>
  <si>
    <t>BALA CHARY</t>
  </si>
  <si>
    <t>balachary.itesites@gmail.com</t>
  </si>
  <si>
    <t>03.08.2005</t>
  </si>
  <si>
    <t>0223CPIT066</t>
  </si>
  <si>
    <t>BANDARI SRUJANA</t>
  </si>
  <si>
    <t>bandarisrujana.fullstack@gmail.com</t>
  </si>
  <si>
    <t>24.05.2005</t>
  </si>
  <si>
    <t>0223CPIT067</t>
  </si>
  <si>
    <t>DURGA PRASAD</t>
  </si>
  <si>
    <t>durgaprasad.fullstack@gmail.com</t>
  </si>
  <si>
    <t>03.06.2002</t>
  </si>
  <si>
    <t>0223CPIT068</t>
  </si>
  <si>
    <t>K PAVANI</t>
  </si>
  <si>
    <t>kpavani.fullstack@gmail.com</t>
  </si>
  <si>
    <t>05.09.1998</t>
  </si>
  <si>
    <t>0223CPIT069</t>
  </si>
  <si>
    <t>M KOMAL RAJ</t>
  </si>
  <si>
    <t>mkomalraj.itesites@gmail.com</t>
  </si>
  <si>
    <t>0223CPIT070</t>
  </si>
  <si>
    <t>MEDI SANGEETHA</t>
  </si>
  <si>
    <t>medisangeetha.fullstack@gmail.com</t>
  </si>
  <si>
    <t>0223CPIT071</t>
  </si>
  <si>
    <t>N.PARAMESH</t>
  </si>
  <si>
    <t>nparamesh.fullstack@gmail.com</t>
  </si>
  <si>
    <t>07.06.2004</t>
  </si>
  <si>
    <t>0223CPIT072</t>
  </si>
  <si>
    <t>NAGA CHANDU V</t>
  </si>
  <si>
    <t>nagachanduv.itesites@gmail.com</t>
  </si>
  <si>
    <t>26.05.2002</t>
  </si>
  <si>
    <t>0223CPIT073</t>
  </si>
  <si>
    <t>S SAMEER</t>
  </si>
  <si>
    <t>ssameer.fullstack@gmail.com</t>
  </si>
  <si>
    <t>05.08.2004</t>
  </si>
  <si>
    <t>0223CPIT074</t>
  </si>
  <si>
    <t>SALVADI VENKATESH</t>
  </si>
  <si>
    <t>salvadivenkatesh.itesites@gmail.com</t>
  </si>
  <si>
    <t>04.04.2002</t>
  </si>
  <si>
    <t>0223CPIT075</t>
  </si>
  <si>
    <t>UPPUNUTHALA PURUSHOTHAM</t>
  </si>
  <si>
    <t>uppunuthalapurushotham.itesites@gmail.com</t>
  </si>
  <si>
    <t>22.09.2006</t>
  </si>
  <si>
    <t>0223CPIT076</t>
  </si>
  <si>
    <t xml:space="preserve">VINAY KUMAR </t>
  </si>
  <si>
    <t>vinaykumar.fullstack@gmail.com</t>
  </si>
  <si>
    <t>01.01.2000</t>
  </si>
  <si>
    <t>0223CPIT077</t>
  </si>
  <si>
    <t>YARRA NAVYA SAHITHI</t>
  </si>
  <si>
    <t>yarranavyasahithi.fullstack@gmail.com</t>
  </si>
  <si>
    <t>10.10.2002</t>
  </si>
  <si>
    <t>0223CPIT078</t>
  </si>
  <si>
    <t>M. Aravind</t>
  </si>
  <si>
    <t>maravind.fullstack@gmail.com</t>
  </si>
  <si>
    <t>0223CPIT079</t>
  </si>
  <si>
    <t>Surya Kiran</t>
  </si>
  <si>
    <t>suryakiran.fullstack@gmail.com</t>
  </si>
  <si>
    <t>0223CPIT080</t>
  </si>
  <si>
    <t>B Aravind</t>
  </si>
  <si>
    <t>baravind.fullstack@gmail.com</t>
  </si>
  <si>
    <t>Total</t>
  </si>
  <si>
    <t>Prasent</t>
  </si>
  <si>
    <t>Absent</t>
  </si>
  <si>
    <t>Late</t>
  </si>
  <si>
    <t>Student Code</t>
  </si>
  <si>
    <t>Student Name</t>
  </si>
  <si>
    <t>AF05174237</t>
  </si>
  <si>
    <t>Machapatri G Sai Chiru</t>
  </si>
  <si>
    <t>AF05199372</t>
  </si>
  <si>
    <t>Shaikh Juned</t>
  </si>
  <si>
    <t>AF05202233</t>
  </si>
  <si>
    <t>Chavva manikanta</t>
  </si>
  <si>
    <t>AF05202244</t>
  </si>
  <si>
    <t>Nangunoori Tanmai</t>
  </si>
  <si>
    <t>AF05202247</t>
  </si>
  <si>
    <t>T Srivatshav</t>
  </si>
  <si>
    <t>AF05202426</t>
  </si>
  <si>
    <t>T Keerthan kumar</t>
  </si>
  <si>
    <t>AF05202427</t>
  </si>
  <si>
    <t>Kuruva Poojitha</t>
  </si>
  <si>
    <t>AF05202436</t>
  </si>
  <si>
    <t>Vemula Nehru Nithish</t>
  </si>
  <si>
    <t>AF05202478</t>
  </si>
  <si>
    <t>Priyanka Badiger</t>
  </si>
  <si>
    <t>AF05202482</t>
  </si>
  <si>
    <t>Bandi Niharika varma</t>
  </si>
  <si>
    <t>AF05202485</t>
  </si>
  <si>
    <t>Gorpadi parimala</t>
  </si>
  <si>
    <t>AF05202513</t>
  </si>
  <si>
    <t>Maroju Shiva kumar</t>
  </si>
  <si>
    <t>AF05202522</t>
  </si>
  <si>
    <t>Kancharl A ashwini</t>
  </si>
  <si>
    <t>AF05202523</t>
  </si>
  <si>
    <t>Onteddu krupakar</t>
  </si>
  <si>
    <t>AF05202430</t>
  </si>
  <si>
    <t>Mohammed Abrar Abbas</t>
  </si>
  <si>
    <t>AF05202433</t>
  </si>
  <si>
    <t>C Ravali</t>
  </si>
  <si>
    <t>AF05202631</t>
  </si>
  <si>
    <t>Ravi Revathi</t>
  </si>
  <si>
    <t>AF05202632</t>
  </si>
  <si>
    <t>Amruta I Zirli</t>
  </si>
  <si>
    <t>AF05203213</t>
  </si>
  <si>
    <t>N Manideepthi</t>
  </si>
  <si>
    <t>AF05203209</t>
  </si>
  <si>
    <t>Mekala Chintu</t>
  </si>
  <si>
    <t>AF05203236</t>
  </si>
  <si>
    <t>MACHAPATRI SRIJAN</t>
  </si>
  <si>
    <t>AF05203244</t>
  </si>
  <si>
    <t>SYED ZAMEERUDDIN</t>
  </si>
  <si>
    <t>AF05204426</t>
  </si>
  <si>
    <t>Garipelly Harshini</t>
  </si>
  <si>
    <t>AF05207045</t>
  </si>
  <si>
    <t>Jalli Rohith</t>
  </si>
  <si>
    <t>AF05208247</t>
  </si>
  <si>
    <t>Gangula Mallesh</t>
  </si>
  <si>
    <t>Marks</t>
  </si>
  <si>
    <t>Index MultiColumn</t>
  </si>
  <si>
    <t>Index Single Column</t>
  </si>
  <si>
    <t>Match</t>
  </si>
  <si>
    <t>Index And Match</t>
  </si>
  <si>
    <t>StudentName</t>
  </si>
  <si>
    <t>Attendance %</t>
  </si>
  <si>
    <t>Aptitude Count</t>
  </si>
  <si>
    <t>Batch Code</t>
  </si>
  <si>
    <t>Alias</t>
  </si>
  <si>
    <t>Actual Center</t>
  </si>
  <si>
    <t>Center Manager</t>
  </si>
  <si>
    <t>Start Date</t>
  </si>
  <si>
    <t>End Date</t>
  </si>
  <si>
    <t>Funder</t>
  </si>
  <si>
    <t>Attendance%</t>
  </si>
  <si>
    <t>Course Level Attendance%</t>
  </si>
  <si>
    <t>TD Lab Marks%</t>
  </si>
  <si>
    <t>TD Lab Completion%</t>
  </si>
  <si>
    <t>Lab Count</t>
  </si>
  <si>
    <t>Lab Assigned</t>
  </si>
  <si>
    <t>MCQ Marks%</t>
  </si>
  <si>
    <t>MCQ Completion%</t>
  </si>
  <si>
    <t>MCQ Count</t>
  </si>
  <si>
    <t>MCQ Assigned</t>
  </si>
  <si>
    <t>Sprint1%</t>
  </si>
  <si>
    <t>Sprint2%</t>
  </si>
  <si>
    <t>iChat%</t>
  </si>
  <si>
    <t>iChat Count</t>
  </si>
  <si>
    <t>Aptitude%</t>
  </si>
  <si>
    <t>Aptitute Completion%</t>
  </si>
  <si>
    <t>Aptitude Assigned</t>
  </si>
  <si>
    <t>ANP-D6211</t>
  </si>
  <si>
    <t>DPBA</t>
  </si>
  <si>
    <t>TSACC</t>
  </si>
  <si>
    <t>Dinesh Korlana</t>
  </si>
  <si>
    <t>Apr 27, 2026</t>
  </si>
  <si>
    <t>null</t>
  </si>
  <si>
    <t>ACCENTURE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</si>
</sst>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 applyAlignment="1"/>
    <xf numFmtId="0" fontId="0" fillId="5" borderId="0" xfId="0" applyFill="1"/>
    <xf numFmtId="0" fontId="0" fillId="5" borderId="0" xfId="0" applyFill="1" applyBorder="1"/>
    <xf numFmtId="0" fontId="4" fillId="5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6" borderId="4" xfId="0" applyFont="1" applyFill="1" applyBorder="1" applyAlignment="1"/>
    <xf numFmtId="0" fontId="8" fillId="0" borderId="5" xfId="0" applyFont="1" applyBorder="1" applyAlignment="1"/>
    <xf numFmtId="0" fontId="0" fillId="0" borderId="1" xfId="0" applyBorder="1"/>
    <xf numFmtId="0" fontId="7" fillId="6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7" borderId="1" xfId="0" applyFill="1" applyBorder="1"/>
  </cellXfs>
  <cellStyles count="2">
    <cellStyle name="Hyperlink" xfId="1" builtinId="8"/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santoshi.fullstack@gmail.com" TargetMode="External"/><Relationship Id="rId21" Type="http://schemas.openxmlformats.org/officeDocument/2006/relationships/hyperlink" Target="mailto:garapatigayathri.itesites@gmail.com" TargetMode="External"/><Relationship Id="rId42" Type="http://schemas.openxmlformats.org/officeDocument/2006/relationships/hyperlink" Target="mailto:palleyshravani.itesites@gmail.com" TargetMode="External"/><Relationship Id="rId47" Type="http://schemas.openxmlformats.org/officeDocument/2006/relationships/hyperlink" Target="mailto:rachamanduguajaykumar.fullstack@gmail.com" TargetMode="External"/><Relationship Id="rId63" Type="http://schemas.openxmlformats.org/officeDocument/2006/relationships/hyperlink" Target="mailto:syedadil.itesites@gmail.com" TargetMode="External"/><Relationship Id="rId68" Type="http://schemas.openxmlformats.org/officeDocument/2006/relationships/hyperlink" Target="mailto:kpavani.fullstack@gmail.com" TargetMode="External"/><Relationship Id="rId16" Type="http://schemas.openxmlformats.org/officeDocument/2006/relationships/hyperlink" Target="mailto:eerammagariraviteja.fullstack@gmail.com" TargetMode="External"/><Relationship Id="rId11" Type="http://schemas.openxmlformats.org/officeDocument/2006/relationships/hyperlink" Target="mailto:chandrasampathkumar.fullstack@gmail.com" TargetMode="External"/><Relationship Id="rId32" Type="http://schemas.openxmlformats.org/officeDocument/2006/relationships/hyperlink" Target="mailto:mbalaji.itesites@gmail.com" TargetMode="External"/><Relationship Id="rId37" Type="http://schemas.openxmlformats.org/officeDocument/2006/relationships/hyperlink" Target="mailto:meghagnimukherjee.fullstack@gmail.com" TargetMode="External"/><Relationship Id="rId53" Type="http://schemas.openxmlformats.org/officeDocument/2006/relationships/hyperlink" Target="mailto:shejulbalajirameshwar.fullstack@gmail.com" TargetMode="External"/><Relationship Id="rId58" Type="http://schemas.openxmlformats.org/officeDocument/2006/relationships/hyperlink" Target="mailto:sujeetkumar.fullstack@gmail.com" TargetMode="External"/><Relationship Id="rId74" Type="http://schemas.openxmlformats.org/officeDocument/2006/relationships/hyperlink" Target="mailto:salvadivenkatesh.itesites@gmail.com" TargetMode="External"/><Relationship Id="rId79" Type="http://schemas.openxmlformats.org/officeDocument/2006/relationships/hyperlink" Target="mailto:suryakiran.fullstack@gmail.com" TargetMode="External"/><Relationship Id="rId5" Type="http://schemas.openxmlformats.org/officeDocument/2006/relationships/hyperlink" Target="mailto:ayushmansinghbaghel.fullstack@gmail.com" TargetMode="External"/><Relationship Id="rId61" Type="http://schemas.openxmlformats.org/officeDocument/2006/relationships/hyperlink" Target="mailto:syedabdulhakeem.fullstack@gmail.com" TargetMode="External"/><Relationship Id="rId19" Type="http://schemas.openxmlformats.org/officeDocument/2006/relationships/hyperlink" Target="mailto:gaikwadsrushti.fullstack@gmail.com" TargetMode="External"/><Relationship Id="rId14" Type="http://schemas.openxmlformats.org/officeDocument/2006/relationships/hyperlink" Target="mailto:devalladeepak.itesites@gmail.com" TargetMode="External"/><Relationship Id="rId22" Type="http://schemas.openxmlformats.org/officeDocument/2006/relationships/hyperlink" Target="mailto:golisailokesh.fullstack@gmail.com" TargetMode="External"/><Relationship Id="rId27" Type="http://schemas.openxmlformats.org/officeDocument/2006/relationships/hyperlink" Target="mailto:kaligotaniharika.itesites@gmail.com" TargetMode="External"/><Relationship Id="rId30" Type="http://schemas.openxmlformats.org/officeDocument/2006/relationships/hyperlink" Target="mailto:kasturisaimahesh.fullstack@gmail.com" TargetMode="External"/><Relationship Id="rId35" Type="http://schemas.openxmlformats.org/officeDocument/2006/relationships/hyperlink" Target="mailto:manikyalaramadevi.fullstack@gmail.com" TargetMode="External"/><Relationship Id="rId43" Type="http://schemas.openxmlformats.org/officeDocument/2006/relationships/hyperlink" Target="mailto:papakantiraju.fullstack@gmail.com" TargetMode="External"/><Relationship Id="rId48" Type="http://schemas.openxmlformats.org/officeDocument/2006/relationships/hyperlink" Target="mailto:revallinageshwari.fullstack@gmail.com" TargetMode="External"/><Relationship Id="rId56" Type="http://schemas.openxmlformats.org/officeDocument/2006/relationships/hyperlink" Target="mailto:singudasupallavi.fullstack@gmail.com" TargetMode="External"/><Relationship Id="rId64" Type="http://schemas.openxmlformats.org/officeDocument/2006/relationships/hyperlink" Target="mailto:velupulasunilkumar.fullstack@gmail.com" TargetMode="External"/><Relationship Id="rId69" Type="http://schemas.openxmlformats.org/officeDocument/2006/relationships/hyperlink" Target="mailto:mkomalraj.itesites@gmail.com" TargetMode="External"/><Relationship Id="rId77" Type="http://schemas.openxmlformats.org/officeDocument/2006/relationships/hyperlink" Target="mailto:yarranavyasahithi.fullstack@gmail.com" TargetMode="External"/><Relationship Id="rId8" Type="http://schemas.openxmlformats.org/officeDocument/2006/relationships/hyperlink" Target="mailto:bairiprathyush.fullstack@gmail.com" TargetMode="External"/><Relationship Id="rId51" Type="http://schemas.openxmlformats.org/officeDocument/2006/relationships/hyperlink" Target="mailto:shaikfahad.itesites@gmail.com" TargetMode="External"/><Relationship Id="rId72" Type="http://schemas.openxmlformats.org/officeDocument/2006/relationships/hyperlink" Target="mailto:nagachanduv.itesites@gmail.com" TargetMode="External"/><Relationship Id="rId80" Type="http://schemas.openxmlformats.org/officeDocument/2006/relationships/hyperlink" Target="mailto:baravind.fullstack@gmail.com" TargetMode="External"/><Relationship Id="rId3" Type="http://schemas.openxmlformats.org/officeDocument/2006/relationships/hyperlink" Target="mailto:adulalikitha.fullstack@gmail.com" TargetMode="External"/><Relationship Id="rId12" Type="http://schemas.openxmlformats.org/officeDocument/2006/relationships/hyperlink" Target="mailto:chinnakotlasuryateja.fullstack@gmail.com" TargetMode="External"/><Relationship Id="rId17" Type="http://schemas.openxmlformats.org/officeDocument/2006/relationships/hyperlink" Target="mailto:ellendulasupriya.itesites@gmail.com" TargetMode="External"/><Relationship Id="rId25" Type="http://schemas.openxmlformats.org/officeDocument/2006/relationships/hyperlink" Target="mailto:jadhavyogeshdharamsigh.fullstack@gmail.com" TargetMode="External"/><Relationship Id="rId33" Type="http://schemas.openxmlformats.org/officeDocument/2006/relationships/hyperlink" Target="mailto:madhivaishnavi.itesites@gmail.com" TargetMode="External"/><Relationship Id="rId38" Type="http://schemas.openxmlformats.org/officeDocument/2006/relationships/hyperlink" Target="mailto:nlaxminarasimha.fullstack@gmail.com" TargetMode="External"/><Relationship Id="rId46" Type="http://schemas.openxmlformats.org/officeDocument/2006/relationships/hyperlink" Target="mailto:rvignesh.itesites@gmail.com" TargetMode="External"/><Relationship Id="rId59" Type="http://schemas.openxmlformats.org/officeDocument/2006/relationships/hyperlink" Target="mailto:suruchiranjan.fullstack@gmail.com" TargetMode="External"/><Relationship Id="rId67" Type="http://schemas.openxmlformats.org/officeDocument/2006/relationships/hyperlink" Target="mailto:durgaprasad.fullstack@gmail.com" TargetMode="External"/><Relationship Id="rId20" Type="http://schemas.openxmlformats.org/officeDocument/2006/relationships/hyperlink" Target="mailto:gajjelagiri.itesites@gmail.com" TargetMode="External"/><Relationship Id="rId41" Type="http://schemas.openxmlformats.org/officeDocument/2006/relationships/hyperlink" Target="mailto:navudutejesh.itesites@gmail.com" TargetMode="External"/><Relationship Id="rId54" Type="http://schemas.openxmlformats.org/officeDocument/2006/relationships/hyperlink" Target="mailto:shoaibakhtar.fullstack@gmail.com" TargetMode="External"/><Relationship Id="rId62" Type="http://schemas.openxmlformats.org/officeDocument/2006/relationships/hyperlink" Target="mailto:syedabdulhaleem.fullstack@gmail.com" TargetMode="External"/><Relationship Id="rId70" Type="http://schemas.openxmlformats.org/officeDocument/2006/relationships/hyperlink" Target="mailto:medisangeetha.fullstack@gmail.com" TargetMode="External"/><Relationship Id="rId75" Type="http://schemas.openxmlformats.org/officeDocument/2006/relationships/hyperlink" Target="mailto:uppunuthalapurushotham.itesites@gmail.com" TargetMode="External"/><Relationship Id="rId1" Type="http://schemas.openxmlformats.org/officeDocument/2006/relationships/hyperlink" Target="mailto:akashrajpoot.fullstack@gmail.com" TargetMode="External"/><Relationship Id="rId6" Type="http://schemas.openxmlformats.org/officeDocument/2006/relationships/hyperlink" Target="mailto:bsandeeproy.itesites@gmail.com" TargetMode="External"/><Relationship Id="rId15" Type="http://schemas.openxmlformats.org/officeDocument/2006/relationships/hyperlink" Target="mailto:devkathekomal.fullstack@gmail.com" TargetMode="External"/><Relationship Id="rId23" Type="http://schemas.openxmlformats.org/officeDocument/2006/relationships/hyperlink" Target="mailto:gurramyamini.fullstack@gmail.com" TargetMode="External"/><Relationship Id="rId28" Type="http://schemas.openxmlformats.org/officeDocument/2006/relationships/hyperlink" Target="mailto:kalpanakodari.fullstack@gmail.com" TargetMode="External"/><Relationship Id="rId36" Type="http://schemas.openxmlformats.org/officeDocument/2006/relationships/hyperlink" Target="mailto:maskapavani.itesites@gmail.com" TargetMode="External"/><Relationship Id="rId49" Type="http://schemas.openxmlformats.org/officeDocument/2006/relationships/hyperlink" Target="mailto:rohitreddy.itesites@gmail.com" TargetMode="External"/><Relationship Id="rId57" Type="http://schemas.openxmlformats.org/officeDocument/2006/relationships/hyperlink" Target="mailto:subhashispal.itesites@gmail.com" TargetMode="External"/><Relationship Id="rId10" Type="http://schemas.openxmlformats.org/officeDocument/2006/relationships/hyperlink" Target="mailto:burrivinitha.fullstack@gmail.com" TargetMode="External"/><Relationship Id="rId31" Type="http://schemas.openxmlformats.org/officeDocument/2006/relationships/hyperlink" Target="mailto:lovetiwari.fullstack@gmail.com" TargetMode="External"/><Relationship Id="rId44" Type="http://schemas.openxmlformats.org/officeDocument/2006/relationships/hyperlink" Target="mailto:pratapagirineelakantasastry.fullstack@gmail.com" TargetMode="External"/><Relationship Id="rId52" Type="http://schemas.openxmlformats.org/officeDocument/2006/relationships/hyperlink" Target="mailto:shaiksameerahmed.fullstack@gmail.com" TargetMode="External"/><Relationship Id="rId60" Type="http://schemas.openxmlformats.org/officeDocument/2006/relationships/hyperlink" Target="mailto:suvendukhatua.itesites@gmail.com" TargetMode="External"/><Relationship Id="rId65" Type="http://schemas.openxmlformats.org/officeDocument/2006/relationships/hyperlink" Target="mailto:balachary.itesites@gmail.com" TargetMode="External"/><Relationship Id="rId73" Type="http://schemas.openxmlformats.org/officeDocument/2006/relationships/hyperlink" Target="mailto:ssameer.fullstack@gmail.com" TargetMode="External"/><Relationship Id="rId78" Type="http://schemas.openxmlformats.org/officeDocument/2006/relationships/hyperlink" Target="mailto:maravind.fullstack@gmail.com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mailto:alokkumar.fullstack@gmail.com" TargetMode="External"/><Relationship Id="rId9" Type="http://schemas.openxmlformats.org/officeDocument/2006/relationships/hyperlink" Target="mailto:bandapalligangabhavani.itesites@gmail.com" TargetMode="External"/><Relationship Id="rId13" Type="http://schemas.openxmlformats.org/officeDocument/2006/relationships/hyperlink" Target="mailto:dasarivimala.fullstack@gmail.com" TargetMode="External"/><Relationship Id="rId18" Type="http://schemas.openxmlformats.org/officeDocument/2006/relationships/hyperlink" Target="mailto:gadiyaramvarsha.fullstack@gmail.com" TargetMode="External"/><Relationship Id="rId39" Type="http://schemas.openxmlformats.org/officeDocument/2006/relationships/hyperlink" Target="mailto:nanapurajlaharika.itesites@gmail.com" TargetMode="External"/><Relationship Id="rId34" Type="http://schemas.openxmlformats.org/officeDocument/2006/relationships/hyperlink" Target="mailto:mandalojunagalaxmi.fullstack@gmail.com" TargetMode="External"/><Relationship Id="rId50" Type="http://schemas.openxmlformats.org/officeDocument/2006/relationships/hyperlink" Target="mailto:ruchiranjan.fullstack@gmail.com" TargetMode="External"/><Relationship Id="rId55" Type="http://schemas.openxmlformats.org/officeDocument/2006/relationships/hyperlink" Target="mailto:singamkrishnaveni.fullstack@gmail.com" TargetMode="External"/><Relationship Id="rId76" Type="http://schemas.openxmlformats.org/officeDocument/2006/relationships/hyperlink" Target="mailto:vinaykumar.fullstack@gmail.com" TargetMode="External"/><Relationship Id="rId7" Type="http://schemas.openxmlformats.org/officeDocument/2006/relationships/hyperlink" Target="mailto:bsrinivasulu.fullstack@gmail.com" TargetMode="External"/><Relationship Id="rId71" Type="http://schemas.openxmlformats.org/officeDocument/2006/relationships/hyperlink" Target="mailto:nparamesh.fullstack@gmail.com" TargetMode="External"/><Relationship Id="rId2" Type="http://schemas.openxmlformats.org/officeDocument/2006/relationships/hyperlink" Target="mailto:nikitha.itesites@gmail.com" TargetMode="External"/><Relationship Id="rId29" Type="http://schemas.openxmlformats.org/officeDocument/2006/relationships/hyperlink" Target="mailto:kanchaakash.fullstack@gmail.com" TargetMode="External"/><Relationship Id="rId24" Type="http://schemas.openxmlformats.org/officeDocument/2006/relationships/hyperlink" Target="mailto:hariomrai.fullstack@gmail.com" TargetMode="External"/><Relationship Id="rId40" Type="http://schemas.openxmlformats.org/officeDocument/2006/relationships/hyperlink" Target="mailto:narravenkatasai.itesites@gmail.com" TargetMode="External"/><Relationship Id="rId45" Type="http://schemas.openxmlformats.org/officeDocument/2006/relationships/hyperlink" Target="mailto:praveenrajpoot.fullstack@gmail.com" TargetMode="External"/><Relationship Id="rId66" Type="http://schemas.openxmlformats.org/officeDocument/2006/relationships/hyperlink" Target="mailto:bandarisrujana.fullstack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ksantoshi.fullstack@gmail.com" TargetMode="External"/><Relationship Id="rId21" Type="http://schemas.openxmlformats.org/officeDocument/2006/relationships/hyperlink" Target="mailto:garapatigayathri.itesites@gmail.com" TargetMode="External"/><Relationship Id="rId42" Type="http://schemas.openxmlformats.org/officeDocument/2006/relationships/hyperlink" Target="mailto:palleyshravani.itesites@gmail.com" TargetMode="External"/><Relationship Id="rId47" Type="http://schemas.openxmlformats.org/officeDocument/2006/relationships/hyperlink" Target="mailto:rachamanduguajaykumar.fullstack@gmail.com" TargetMode="External"/><Relationship Id="rId63" Type="http://schemas.openxmlformats.org/officeDocument/2006/relationships/hyperlink" Target="mailto:syedadil.itesites@gmail.com" TargetMode="External"/><Relationship Id="rId68" Type="http://schemas.openxmlformats.org/officeDocument/2006/relationships/hyperlink" Target="mailto:kpavani.fullstack@gmail.com" TargetMode="External"/><Relationship Id="rId16" Type="http://schemas.openxmlformats.org/officeDocument/2006/relationships/hyperlink" Target="mailto:eerammagariraviteja.fullstack@gmail.com" TargetMode="External"/><Relationship Id="rId11" Type="http://schemas.openxmlformats.org/officeDocument/2006/relationships/hyperlink" Target="mailto:chandrasampathkumar.fullstack@gmail.com" TargetMode="External"/><Relationship Id="rId32" Type="http://schemas.openxmlformats.org/officeDocument/2006/relationships/hyperlink" Target="mailto:mbalaji.itesites@gmail.com" TargetMode="External"/><Relationship Id="rId37" Type="http://schemas.openxmlformats.org/officeDocument/2006/relationships/hyperlink" Target="mailto:meghagnimukherjee.fullstack@gmail.com" TargetMode="External"/><Relationship Id="rId53" Type="http://schemas.openxmlformats.org/officeDocument/2006/relationships/hyperlink" Target="mailto:shejulbalajirameshwar.fullstack@gmail.com" TargetMode="External"/><Relationship Id="rId58" Type="http://schemas.openxmlformats.org/officeDocument/2006/relationships/hyperlink" Target="mailto:sujeetkumar.fullstack@gmail.com" TargetMode="External"/><Relationship Id="rId74" Type="http://schemas.openxmlformats.org/officeDocument/2006/relationships/hyperlink" Target="mailto:salvadivenkatesh.itesites@gmail.com" TargetMode="External"/><Relationship Id="rId79" Type="http://schemas.openxmlformats.org/officeDocument/2006/relationships/hyperlink" Target="mailto:suryakiran.fullstack@gmail.com" TargetMode="External"/><Relationship Id="rId5" Type="http://schemas.openxmlformats.org/officeDocument/2006/relationships/hyperlink" Target="mailto:ayushmansinghbaghel.fullstack@gmail.com" TargetMode="External"/><Relationship Id="rId61" Type="http://schemas.openxmlformats.org/officeDocument/2006/relationships/hyperlink" Target="mailto:syedabdulhakeem.fullstack@gmail.com" TargetMode="External"/><Relationship Id="rId19" Type="http://schemas.openxmlformats.org/officeDocument/2006/relationships/hyperlink" Target="mailto:gaikwadsrushti.fullstack@gmail.com" TargetMode="External"/><Relationship Id="rId14" Type="http://schemas.openxmlformats.org/officeDocument/2006/relationships/hyperlink" Target="mailto:devalladeepak.itesites@gmail.com" TargetMode="External"/><Relationship Id="rId22" Type="http://schemas.openxmlformats.org/officeDocument/2006/relationships/hyperlink" Target="mailto:golisailokesh.fullstack@gmail.com" TargetMode="External"/><Relationship Id="rId27" Type="http://schemas.openxmlformats.org/officeDocument/2006/relationships/hyperlink" Target="mailto:kaligotaniharika.itesites@gmail.com" TargetMode="External"/><Relationship Id="rId30" Type="http://schemas.openxmlformats.org/officeDocument/2006/relationships/hyperlink" Target="mailto:kasturisaimahesh.fullstack@gmail.com" TargetMode="External"/><Relationship Id="rId35" Type="http://schemas.openxmlformats.org/officeDocument/2006/relationships/hyperlink" Target="mailto:manikyalaramadevi.fullstack@gmail.com" TargetMode="External"/><Relationship Id="rId43" Type="http://schemas.openxmlformats.org/officeDocument/2006/relationships/hyperlink" Target="mailto:papakantiraju.fullstack@gmail.com" TargetMode="External"/><Relationship Id="rId48" Type="http://schemas.openxmlformats.org/officeDocument/2006/relationships/hyperlink" Target="mailto:revallinageshwari.fullstack@gmail.com" TargetMode="External"/><Relationship Id="rId56" Type="http://schemas.openxmlformats.org/officeDocument/2006/relationships/hyperlink" Target="mailto:singudasupallavi.fullstack@gmail.com" TargetMode="External"/><Relationship Id="rId64" Type="http://schemas.openxmlformats.org/officeDocument/2006/relationships/hyperlink" Target="mailto:velupulasunilkumar.fullstack@gmail.com" TargetMode="External"/><Relationship Id="rId69" Type="http://schemas.openxmlformats.org/officeDocument/2006/relationships/hyperlink" Target="mailto:mkomalraj.itesites@gmail.com" TargetMode="External"/><Relationship Id="rId77" Type="http://schemas.openxmlformats.org/officeDocument/2006/relationships/hyperlink" Target="mailto:yarranavyasahithi.fullstack@gmail.com" TargetMode="External"/><Relationship Id="rId8" Type="http://schemas.openxmlformats.org/officeDocument/2006/relationships/hyperlink" Target="mailto:bairiprathyush.fullstack@gmail.com" TargetMode="External"/><Relationship Id="rId51" Type="http://schemas.openxmlformats.org/officeDocument/2006/relationships/hyperlink" Target="mailto:shaikfahad.itesites@gmail.com" TargetMode="External"/><Relationship Id="rId72" Type="http://schemas.openxmlformats.org/officeDocument/2006/relationships/hyperlink" Target="mailto:nagachanduv.itesites@gmail.com" TargetMode="External"/><Relationship Id="rId80" Type="http://schemas.openxmlformats.org/officeDocument/2006/relationships/hyperlink" Target="mailto:baravind.fullstack@gmail.com" TargetMode="External"/><Relationship Id="rId3" Type="http://schemas.openxmlformats.org/officeDocument/2006/relationships/hyperlink" Target="mailto:adulalikitha.fullstack@gmail.com" TargetMode="External"/><Relationship Id="rId12" Type="http://schemas.openxmlformats.org/officeDocument/2006/relationships/hyperlink" Target="mailto:chinnakotlasuryateja.fullstack@gmail.com" TargetMode="External"/><Relationship Id="rId17" Type="http://schemas.openxmlformats.org/officeDocument/2006/relationships/hyperlink" Target="mailto:ellendulasupriya.itesites@gmail.com" TargetMode="External"/><Relationship Id="rId25" Type="http://schemas.openxmlformats.org/officeDocument/2006/relationships/hyperlink" Target="mailto:jadhavyogeshdharamsigh.fullstack@gmail.com" TargetMode="External"/><Relationship Id="rId33" Type="http://schemas.openxmlformats.org/officeDocument/2006/relationships/hyperlink" Target="mailto:madhivaishnavi.itesites@gmail.com" TargetMode="External"/><Relationship Id="rId38" Type="http://schemas.openxmlformats.org/officeDocument/2006/relationships/hyperlink" Target="mailto:nlaxminarasimha.fullstack@gmail.com" TargetMode="External"/><Relationship Id="rId46" Type="http://schemas.openxmlformats.org/officeDocument/2006/relationships/hyperlink" Target="mailto:rvignesh.itesites@gmail.com" TargetMode="External"/><Relationship Id="rId59" Type="http://schemas.openxmlformats.org/officeDocument/2006/relationships/hyperlink" Target="mailto:suruchiranjan.fullstack@gmail.com" TargetMode="External"/><Relationship Id="rId67" Type="http://schemas.openxmlformats.org/officeDocument/2006/relationships/hyperlink" Target="mailto:durgaprasad.fullstack@gmail.com" TargetMode="External"/><Relationship Id="rId20" Type="http://schemas.openxmlformats.org/officeDocument/2006/relationships/hyperlink" Target="mailto:gajjelagiri.itesites@gmail.com" TargetMode="External"/><Relationship Id="rId41" Type="http://schemas.openxmlformats.org/officeDocument/2006/relationships/hyperlink" Target="mailto:navudutejesh.itesites@gmail.com" TargetMode="External"/><Relationship Id="rId54" Type="http://schemas.openxmlformats.org/officeDocument/2006/relationships/hyperlink" Target="mailto:shoaibakhtar.fullstack@gmail.com" TargetMode="External"/><Relationship Id="rId62" Type="http://schemas.openxmlformats.org/officeDocument/2006/relationships/hyperlink" Target="mailto:syedabdulhaleem.fullstack@gmail.com" TargetMode="External"/><Relationship Id="rId70" Type="http://schemas.openxmlformats.org/officeDocument/2006/relationships/hyperlink" Target="mailto:medisangeetha.fullstack@gmail.com" TargetMode="External"/><Relationship Id="rId75" Type="http://schemas.openxmlformats.org/officeDocument/2006/relationships/hyperlink" Target="mailto:uppunuthalapurushotham.itesites@gmail.com" TargetMode="External"/><Relationship Id="rId1" Type="http://schemas.openxmlformats.org/officeDocument/2006/relationships/hyperlink" Target="mailto:akashrajpoot.fullstack@gmail.com" TargetMode="External"/><Relationship Id="rId6" Type="http://schemas.openxmlformats.org/officeDocument/2006/relationships/hyperlink" Target="mailto:bsandeeproy.itesites@gmail.com" TargetMode="External"/><Relationship Id="rId15" Type="http://schemas.openxmlformats.org/officeDocument/2006/relationships/hyperlink" Target="mailto:devkathekomal.fullstack@gmail.com" TargetMode="External"/><Relationship Id="rId23" Type="http://schemas.openxmlformats.org/officeDocument/2006/relationships/hyperlink" Target="mailto:gurramyamini.fullstack@gmail.com" TargetMode="External"/><Relationship Id="rId28" Type="http://schemas.openxmlformats.org/officeDocument/2006/relationships/hyperlink" Target="mailto:kalpanakodari.fullstack@gmail.com" TargetMode="External"/><Relationship Id="rId36" Type="http://schemas.openxmlformats.org/officeDocument/2006/relationships/hyperlink" Target="mailto:maskapavani.itesites@gmail.com" TargetMode="External"/><Relationship Id="rId49" Type="http://schemas.openxmlformats.org/officeDocument/2006/relationships/hyperlink" Target="mailto:rohitreddy.itesites@gmail.com" TargetMode="External"/><Relationship Id="rId57" Type="http://schemas.openxmlformats.org/officeDocument/2006/relationships/hyperlink" Target="mailto:subhashispal.itesites@gmail.com" TargetMode="External"/><Relationship Id="rId10" Type="http://schemas.openxmlformats.org/officeDocument/2006/relationships/hyperlink" Target="mailto:burrivinitha.fullstack@gmail.com" TargetMode="External"/><Relationship Id="rId31" Type="http://schemas.openxmlformats.org/officeDocument/2006/relationships/hyperlink" Target="mailto:lovetiwari.fullstack@gmail.com" TargetMode="External"/><Relationship Id="rId44" Type="http://schemas.openxmlformats.org/officeDocument/2006/relationships/hyperlink" Target="mailto:pratapagirineelakantasastry.fullstack@gmail.com" TargetMode="External"/><Relationship Id="rId52" Type="http://schemas.openxmlformats.org/officeDocument/2006/relationships/hyperlink" Target="mailto:shaiksameerahmed.fullstack@gmail.com" TargetMode="External"/><Relationship Id="rId60" Type="http://schemas.openxmlformats.org/officeDocument/2006/relationships/hyperlink" Target="mailto:suvendukhatua.itesites@gmail.com" TargetMode="External"/><Relationship Id="rId65" Type="http://schemas.openxmlformats.org/officeDocument/2006/relationships/hyperlink" Target="mailto:balachary.itesites@gmail.com" TargetMode="External"/><Relationship Id="rId73" Type="http://schemas.openxmlformats.org/officeDocument/2006/relationships/hyperlink" Target="mailto:ssameer.fullstack@gmail.com" TargetMode="External"/><Relationship Id="rId78" Type="http://schemas.openxmlformats.org/officeDocument/2006/relationships/hyperlink" Target="mailto:maravind.fullstack@gmail.com" TargetMode="External"/><Relationship Id="rId81" Type="http://schemas.openxmlformats.org/officeDocument/2006/relationships/printerSettings" Target="../printerSettings/printerSettings4.bin"/><Relationship Id="rId4" Type="http://schemas.openxmlformats.org/officeDocument/2006/relationships/hyperlink" Target="mailto:alokkumar.fullstack@gmail.com" TargetMode="External"/><Relationship Id="rId9" Type="http://schemas.openxmlformats.org/officeDocument/2006/relationships/hyperlink" Target="mailto:bandapalligangabhavani.itesites@gmail.com" TargetMode="External"/><Relationship Id="rId13" Type="http://schemas.openxmlformats.org/officeDocument/2006/relationships/hyperlink" Target="mailto:dasarivimala.fullstack@gmail.com" TargetMode="External"/><Relationship Id="rId18" Type="http://schemas.openxmlformats.org/officeDocument/2006/relationships/hyperlink" Target="mailto:gadiyaramvarsha.fullstack@gmail.com" TargetMode="External"/><Relationship Id="rId39" Type="http://schemas.openxmlformats.org/officeDocument/2006/relationships/hyperlink" Target="mailto:nanapurajlaharika.itesites@gmail.com" TargetMode="External"/><Relationship Id="rId34" Type="http://schemas.openxmlformats.org/officeDocument/2006/relationships/hyperlink" Target="mailto:mandalojunagalaxmi.fullstack@gmail.com" TargetMode="External"/><Relationship Id="rId50" Type="http://schemas.openxmlformats.org/officeDocument/2006/relationships/hyperlink" Target="mailto:ruchiranjan.fullstack@gmail.com" TargetMode="External"/><Relationship Id="rId55" Type="http://schemas.openxmlformats.org/officeDocument/2006/relationships/hyperlink" Target="mailto:singamkrishnaveni.fullstack@gmail.com" TargetMode="External"/><Relationship Id="rId76" Type="http://schemas.openxmlformats.org/officeDocument/2006/relationships/hyperlink" Target="mailto:vinaykumar.fullstack@gmail.com" TargetMode="External"/><Relationship Id="rId7" Type="http://schemas.openxmlformats.org/officeDocument/2006/relationships/hyperlink" Target="mailto:bsrinivasulu.fullstack@gmail.com" TargetMode="External"/><Relationship Id="rId71" Type="http://schemas.openxmlformats.org/officeDocument/2006/relationships/hyperlink" Target="mailto:nparamesh.fullstack@gmail.com" TargetMode="External"/><Relationship Id="rId2" Type="http://schemas.openxmlformats.org/officeDocument/2006/relationships/hyperlink" Target="mailto:nikitha.itesites@gmail.com" TargetMode="External"/><Relationship Id="rId29" Type="http://schemas.openxmlformats.org/officeDocument/2006/relationships/hyperlink" Target="mailto:kanchaakash.fullstack@gmail.com" TargetMode="External"/><Relationship Id="rId24" Type="http://schemas.openxmlformats.org/officeDocument/2006/relationships/hyperlink" Target="mailto:hariomrai.fullstack@gmail.com" TargetMode="External"/><Relationship Id="rId40" Type="http://schemas.openxmlformats.org/officeDocument/2006/relationships/hyperlink" Target="mailto:narravenkatasai.itesites@gmail.com" TargetMode="External"/><Relationship Id="rId45" Type="http://schemas.openxmlformats.org/officeDocument/2006/relationships/hyperlink" Target="mailto:praveenrajpoot.fullstack@gmail.com" TargetMode="External"/><Relationship Id="rId66" Type="http://schemas.openxmlformats.org/officeDocument/2006/relationships/hyperlink" Target="mailto:bandarisrujana.fullstack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ksantoshi.fullstack@gmail.com" TargetMode="External"/><Relationship Id="rId21" Type="http://schemas.openxmlformats.org/officeDocument/2006/relationships/hyperlink" Target="mailto:garapatigayathri.itesites@gmail.com" TargetMode="External"/><Relationship Id="rId42" Type="http://schemas.openxmlformats.org/officeDocument/2006/relationships/hyperlink" Target="mailto:palleyshravani.itesites@gmail.com" TargetMode="External"/><Relationship Id="rId47" Type="http://schemas.openxmlformats.org/officeDocument/2006/relationships/hyperlink" Target="mailto:rachamanduguajaykumar.fullstack@gmail.com" TargetMode="External"/><Relationship Id="rId63" Type="http://schemas.openxmlformats.org/officeDocument/2006/relationships/hyperlink" Target="mailto:syedadil.itesites@gmail.com" TargetMode="External"/><Relationship Id="rId68" Type="http://schemas.openxmlformats.org/officeDocument/2006/relationships/hyperlink" Target="mailto:kpavani.fullstack@gmail.com" TargetMode="External"/><Relationship Id="rId16" Type="http://schemas.openxmlformats.org/officeDocument/2006/relationships/hyperlink" Target="mailto:eerammagariraviteja.fullstack@gmail.com" TargetMode="External"/><Relationship Id="rId11" Type="http://schemas.openxmlformats.org/officeDocument/2006/relationships/hyperlink" Target="mailto:chandrasampathkumar.fullstack@gmail.com" TargetMode="External"/><Relationship Id="rId32" Type="http://schemas.openxmlformats.org/officeDocument/2006/relationships/hyperlink" Target="mailto:mbalaji.itesites@gmail.com" TargetMode="External"/><Relationship Id="rId37" Type="http://schemas.openxmlformats.org/officeDocument/2006/relationships/hyperlink" Target="mailto:meghagnimukherjee.fullstack@gmail.com" TargetMode="External"/><Relationship Id="rId53" Type="http://schemas.openxmlformats.org/officeDocument/2006/relationships/hyperlink" Target="mailto:shejulbalajirameshwar.fullstack@gmail.com" TargetMode="External"/><Relationship Id="rId58" Type="http://schemas.openxmlformats.org/officeDocument/2006/relationships/hyperlink" Target="mailto:sujeetkumar.fullstack@gmail.com" TargetMode="External"/><Relationship Id="rId74" Type="http://schemas.openxmlformats.org/officeDocument/2006/relationships/hyperlink" Target="mailto:salvadivenkatesh.itesites@gmail.com" TargetMode="External"/><Relationship Id="rId79" Type="http://schemas.openxmlformats.org/officeDocument/2006/relationships/hyperlink" Target="mailto:suryakiran.fullstack@gmail.com" TargetMode="External"/><Relationship Id="rId5" Type="http://schemas.openxmlformats.org/officeDocument/2006/relationships/hyperlink" Target="mailto:ayushmansinghbaghel.fullstack@gmail.com" TargetMode="External"/><Relationship Id="rId61" Type="http://schemas.openxmlformats.org/officeDocument/2006/relationships/hyperlink" Target="mailto:syedabdulhakeem.fullstack@gmail.com" TargetMode="External"/><Relationship Id="rId19" Type="http://schemas.openxmlformats.org/officeDocument/2006/relationships/hyperlink" Target="mailto:gaikwadsrushti.fullstack@gmail.com" TargetMode="External"/><Relationship Id="rId14" Type="http://schemas.openxmlformats.org/officeDocument/2006/relationships/hyperlink" Target="mailto:devalladeepak.itesites@gmail.com" TargetMode="External"/><Relationship Id="rId22" Type="http://schemas.openxmlformats.org/officeDocument/2006/relationships/hyperlink" Target="mailto:golisailokesh.fullstack@gmail.com" TargetMode="External"/><Relationship Id="rId27" Type="http://schemas.openxmlformats.org/officeDocument/2006/relationships/hyperlink" Target="mailto:kaligotaniharika.itesites@gmail.com" TargetMode="External"/><Relationship Id="rId30" Type="http://schemas.openxmlformats.org/officeDocument/2006/relationships/hyperlink" Target="mailto:kasturisaimahesh.fullstack@gmail.com" TargetMode="External"/><Relationship Id="rId35" Type="http://schemas.openxmlformats.org/officeDocument/2006/relationships/hyperlink" Target="mailto:manikyalaramadevi.fullstack@gmail.com" TargetMode="External"/><Relationship Id="rId43" Type="http://schemas.openxmlformats.org/officeDocument/2006/relationships/hyperlink" Target="mailto:papakantiraju.fullstack@gmail.com" TargetMode="External"/><Relationship Id="rId48" Type="http://schemas.openxmlformats.org/officeDocument/2006/relationships/hyperlink" Target="mailto:revallinageshwari.fullstack@gmail.com" TargetMode="External"/><Relationship Id="rId56" Type="http://schemas.openxmlformats.org/officeDocument/2006/relationships/hyperlink" Target="mailto:singudasupallavi.fullstack@gmail.com" TargetMode="External"/><Relationship Id="rId64" Type="http://schemas.openxmlformats.org/officeDocument/2006/relationships/hyperlink" Target="mailto:velupulasunilkumar.fullstack@gmail.com" TargetMode="External"/><Relationship Id="rId69" Type="http://schemas.openxmlformats.org/officeDocument/2006/relationships/hyperlink" Target="mailto:mkomalraj.itesites@gmail.com" TargetMode="External"/><Relationship Id="rId77" Type="http://schemas.openxmlformats.org/officeDocument/2006/relationships/hyperlink" Target="mailto:yarranavyasahithi.fullstack@gmail.com" TargetMode="External"/><Relationship Id="rId8" Type="http://schemas.openxmlformats.org/officeDocument/2006/relationships/hyperlink" Target="mailto:bairiprathyush.fullstack@gmail.com" TargetMode="External"/><Relationship Id="rId51" Type="http://schemas.openxmlformats.org/officeDocument/2006/relationships/hyperlink" Target="mailto:shaikfahad.itesites@gmail.com" TargetMode="External"/><Relationship Id="rId72" Type="http://schemas.openxmlformats.org/officeDocument/2006/relationships/hyperlink" Target="mailto:nagachanduv.itesites@gmail.com" TargetMode="External"/><Relationship Id="rId80" Type="http://schemas.openxmlformats.org/officeDocument/2006/relationships/hyperlink" Target="mailto:baravind.fullstack@gmail.com" TargetMode="External"/><Relationship Id="rId3" Type="http://schemas.openxmlformats.org/officeDocument/2006/relationships/hyperlink" Target="mailto:adulalikitha.fullstack@gmail.com" TargetMode="External"/><Relationship Id="rId12" Type="http://schemas.openxmlformats.org/officeDocument/2006/relationships/hyperlink" Target="mailto:chinnakotlasuryateja.fullstack@gmail.com" TargetMode="External"/><Relationship Id="rId17" Type="http://schemas.openxmlformats.org/officeDocument/2006/relationships/hyperlink" Target="mailto:ellendulasupriya.itesites@gmail.com" TargetMode="External"/><Relationship Id="rId25" Type="http://schemas.openxmlformats.org/officeDocument/2006/relationships/hyperlink" Target="mailto:jadhavyogeshdharamsigh.fullstack@gmail.com" TargetMode="External"/><Relationship Id="rId33" Type="http://schemas.openxmlformats.org/officeDocument/2006/relationships/hyperlink" Target="mailto:madhivaishnavi.itesites@gmail.com" TargetMode="External"/><Relationship Id="rId38" Type="http://schemas.openxmlformats.org/officeDocument/2006/relationships/hyperlink" Target="mailto:nlaxminarasimha.fullstack@gmail.com" TargetMode="External"/><Relationship Id="rId46" Type="http://schemas.openxmlformats.org/officeDocument/2006/relationships/hyperlink" Target="mailto:rvignesh.itesites@gmail.com" TargetMode="External"/><Relationship Id="rId59" Type="http://schemas.openxmlformats.org/officeDocument/2006/relationships/hyperlink" Target="mailto:suruchiranjan.fullstack@gmail.com" TargetMode="External"/><Relationship Id="rId67" Type="http://schemas.openxmlformats.org/officeDocument/2006/relationships/hyperlink" Target="mailto:durgaprasad.fullstack@gmail.com" TargetMode="External"/><Relationship Id="rId20" Type="http://schemas.openxmlformats.org/officeDocument/2006/relationships/hyperlink" Target="mailto:gajjelagiri.itesites@gmail.com" TargetMode="External"/><Relationship Id="rId41" Type="http://schemas.openxmlformats.org/officeDocument/2006/relationships/hyperlink" Target="mailto:navudutejesh.itesites@gmail.com" TargetMode="External"/><Relationship Id="rId54" Type="http://schemas.openxmlformats.org/officeDocument/2006/relationships/hyperlink" Target="mailto:shoaibakhtar.fullstack@gmail.com" TargetMode="External"/><Relationship Id="rId62" Type="http://schemas.openxmlformats.org/officeDocument/2006/relationships/hyperlink" Target="mailto:syedabdulhaleem.fullstack@gmail.com" TargetMode="External"/><Relationship Id="rId70" Type="http://schemas.openxmlformats.org/officeDocument/2006/relationships/hyperlink" Target="mailto:medisangeetha.fullstack@gmail.com" TargetMode="External"/><Relationship Id="rId75" Type="http://schemas.openxmlformats.org/officeDocument/2006/relationships/hyperlink" Target="mailto:uppunuthalapurushotham.itesites@gmail.com" TargetMode="External"/><Relationship Id="rId1" Type="http://schemas.openxmlformats.org/officeDocument/2006/relationships/hyperlink" Target="mailto:akashrajpoot.fullstack@gmail.com" TargetMode="External"/><Relationship Id="rId6" Type="http://schemas.openxmlformats.org/officeDocument/2006/relationships/hyperlink" Target="mailto:bsandeeproy.itesites@gmail.com" TargetMode="External"/><Relationship Id="rId15" Type="http://schemas.openxmlformats.org/officeDocument/2006/relationships/hyperlink" Target="mailto:devkathekomal.fullstack@gmail.com" TargetMode="External"/><Relationship Id="rId23" Type="http://schemas.openxmlformats.org/officeDocument/2006/relationships/hyperlink" Target="mailto:gurramyamini.fullstack@gmail.com" TargetMode="External"/><Relationship Id="rId28" Type="http://schemas.openxmlformats.org/officeDocument/2006/relationships/hyperlink" Target="mailto:kalpanakodari.fullstack@gmail.com" TargetMode="External"/><Relationship Id="rId36" Type="http://schemas.openxmlformats.org/officeDocument/2006/relationships/hyperlink" Target="mailto:maskapavani.itesites@gmail.com" TargetMode="External"/><Relationship Id="rId49" Type="http://schemas.openxmlformats.org/officeDocument/2006/relationships/hyperlink" Target="mailto:rohitreddy.itesites@gmail.com" TargetMode="External"/><Relationship Id="rId57" Type="http://schemas.openxmlformats.org/officeDocument/2006/relationships/hyperlink" Target="mailto:subhashispal.itesites@gmail.com" TargetMode="External"/><Relationship Id="rId10" Type="http://schemas.openxmlformats.org/officeDocument/2006/relationships/hyperlink" Target="mailto:burrivinitha.fullstack@gmail.com" TargetMode="External"/><Relationship Id="rId31" Type="http://schemas.openxmlformats.org/officeDocument/2006/relationships/hyperlink" Target="mailto:lovetiwari.fullstack@gmail.com" TargetMode="External"/><Relationship Id="rId44" Type="http://schemas.openxmlformats.org/officeDocument/2006/relationships/hyperlink" Target="mailto:pratapagirineelakantasastry.fullstack@gmail.com" TargetMode="External"/><Relationship Id="rId52" Type="http://schemas.openxmlformats.org/officeDocument/2006/relationships/hyperlink" Target="mailto:shaiksameerahmed.fullstack@gmail.com" TargetMode="External"/><Relationship Id="rId60" Type="http://schemas.openxmlformats.org/officeDocument/2006/relationships/hyperlink" Target="mailto:suvendukhatua.itesites@gmail.com" TargetMode="External"/><Relationship Id="rId65" Type="http://schemas.openxmlformats.org/officeDocument/2006/relationships/hyperlink" Target="mailto:balachary.itesites@gmail.com" TargetMode="External"/><Relationship Id="rId73" Type="http://schemas.openxmlformats.org/officeDocument/2006/relationships/hyperlink" Target="mailto:ssameer.fullstack@gmail.com" TargetMode="External"/><Relationship Id="rId78" Type="http://schemas.openxmlformats.org/officeDocument/2006/relationships/hyperlink" Target="mailto:maravind.fullstack@gmail.com" TargetMode="External"/><Relationship Id="rId81" Type="http://schemas.openxmlformats.org/officeDocument/2006/relationships/printerSettings" Target="../printerSettings/printerSettings6.bin"/><Relationship Id="rId4" Type="http://schemas.openxmlformats.org/officeDocument/2006/relationships/hyperlink" Target="mailto:alokkumar.fullstack@gmail.com" TargetMode="External"/><Relationship Id="rId9" Type="http://schemas.openxmlformats.org/officeDocument/2006/relationships/hyperlink" Target="mailto:bandapalligangabhavani.itesites@gmail.com" TargetMode="External"/><Relationship Id="rId13" Type="http://schemas.openxmlformats.org/officeDocument/2006/relationships/hyperlink" Target="mailto:dasarivimala.fullstack@gmail.com" TargetMode="External"/><Relationship Id="rId18" Type="http://schemas.openxmlformats.org/officeDocument/2006/relationships/hyperlink" Target="mailto:gadiyaramvarsha.fullstack@gmail.com" TargetMode="External"/><Relationship Id="rId39" Type="http://schemas.openxmlformats.org/officeDocument/2006/relationships/hyperlink" Target="mailto:nanapurajlaharika.itesites@gmail.com" TargetMode="External"/><Relationship Id="rId34" Type="http://schemas.openxmlformats.org/officeDocument/2006/relationships/hyperlink" Target="mailto:mandalojunagalaxmi.fullstack@gmail.com" TargetMode="External"/><Relationship Id="rId50" Type="http://schemas.openxmlformats.org/officeDocument/2006/relationships/hyperlink" Target="mailto:ruchiranjan.fullstack@gmail.com" TargetMode="External"/><Relationship Id="rId55" Type="http://schemas.openxmlformats.org/officeDocument/2006/relationships/hyperlink" Target="mailto:singamkrishnaveni.fullstack@gmail.com" TargetMode="External"/><Relationship Id="rId76" Type="http://schemas.openxmlformats.org/officeDocument/2006/relationships/hyperlink" Target="mailto:vinaykumar.fullstack@gmail.com" TargetMode="External"/><Relationship Id="rId7" Type="http://schemas.openxmlformats.org/officeDocument/2006/relationships/hyperlink" Target="mailto:bsrinivasulu.fullstack@gmail.com" TargetMode="External"/><Relationship Id="rId71" Type="http://schemas.openxmlformats.org/officeDocument/2006/relationships/hyperlink" Target="mailto:nparamesh.fullstack@gmail.com" TargetMode="External"/><Relationship Id="rId2" Type="http://schemas.openxmlformats.org/officeDocument/2006/relationships/hyperlink" Target="mailto:nikitha.itesites@gmail.com" TargetMode="External"/><Relationship Id="rId29" Type="http://schemas.openxmlformats.org/officeDocument/2006/relationships/hyperlink" Target="mailto:kanchaakash.fullstack@gmail.com" TargetMode="External"/><Relationship Id="rId24" Type="http://schemas.openxmlformats.org/officeDocument/2006/relationships/hyperlink" Target="mailto:hariomrai.fullstack@gmail.com" TargetMode="External"/><Relationship Id="rId40" Type="http://schemas.openxmlformats.org/officeDocument/2006/relationships/hyperlink" Target="mailto:narravenkatasai.itesites@gmail.com" TargetMode="External"/><Relationship Id="rId45" Type="http://schemas.openxmlformats.org/officeDocument/2006/relationships/hyperlink" Target="mailto:praveenrajpoot.fullstack@gmail.com" TargetMode="External"/><Relationship Id="rId66" Type="http://schemas.openxmlformats.org/officeDocument/2006/relationships/hyperlink" Target="mailto:bandarisrujana.fullstack@g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6F1E-CA7A-48F4-8421-1DF201F266AF}">
  <dimension ref="A1:AI85"/>
  <sheetViews>
    <sheetView workbookViewId="0">
      <pane xSplit="3" ySplit="1" topLeftCell="D53" activePane="bottomRight" state="frozen"/>
      <selection pane="topRight" activeCell="D1" sqref="D1"/>
      <selection pane="bottomLeft" activeCell="A2" sqref="A2"/>
      <selection pane="bottomRight" activeCell="E64" sqref="E64"/>
    </sheetView>
  </sheetViews>
  <sheetFormatPr defaultRowHeight="14.5" x14ac:dyDescent="0.35"/>
  <cols>
    <col min="1" max="1" width="5" bestFit="1" customWidth="1"/>
    <col min="2" max="2" width="7.08984375" bestFit="1" customWidth="1"/>
    <col min="3" max="3" width="18.90625" bestFit="1" customWidth="1"/>
    <col min="4" max="4" width="30.26953125" bestFit="1" customWidth="1"/>
    <col min="5" max="5" width="13.453125" bestFit="1" customWidth="1"/>
    <col min="6" max="6" width="10.81640625" bestFit="1" customWidth="1"/>
    <col min="7" max="7" width="42.453125" bestFit="1" customWidth="1"/>
    <col min="8" max="8" width="7.54296875" bestFit="1" customWidth="1"/>
    <col min="9" max="9" width="30.26953125" bestFit="1" customWidth="1"/>
    <col min="10" max="10" width="17.36328125" bestFit="1" customWidth="1"/>
    <col min="11" max="11" width="10.6328125" bestFit="1" customWidth="1"/>
    <col min="12" max="12" width="7.26953125" bestFit="1" customWidth="1"/>
    <col min="13" max="13" width="4.7265625" bestFit="1" customWidth="1"/>
    <col min="14" max="14" width="3.90625" bestFit="1" customWidth="1"/>
    <col min="15" max="15" width="4.7265625" bestFit="1" customWidth="1"/>
    <col min="16" max="16" width="4" bestFit="1" customWidth="1"/>
    <col min="17" max="17" width="2.90625" bestFit="1" customWidth="1"/>
    <col min="18" max="18" width="4.7265625" bestFit="1" customWidth="1"/>
    <col min="19" max="19" width="3.90625" bestFit="1" customWidth="1"/>
    <col min="20" max="20" width="4.7265625" bestFit="1" customWidth="1"/>
    <col min="21" max="21" width="4" bestFit="1" customWidth="1"/>
    <col min="22" max="22" width="2.90625" bestFit="1" customWidth="1"/>
    <col min="23" max="23" width="4.7265625" bestFit="1" customWidth="1"/>
    <col min="24" max="24" width="3.90625" bestFit="1" customWidth="1"/>
    <col min="25" max="25" width="4.7265625" bestFit="1" customWidth="1"/>
    <col min="26" max="26" width="4" bestFit="1" customWidth="1"/>
    <col min="27" max="27" width="2.90625" bestFit="1" customWidth="1"/>
    <col min="28" max="28" width="4.7265625" bestFit="1" customWidth="1"/>
    <col min="29" max="29" width="3.90625" bestFit="1" customWidth="1"/>
    <col min="30" max="30" width="4.7265625" bestFit="1" customWidth="1"/>
    <col min="31" max="31" width="4" bestFit="1" customWidth="1"/>
    <col min="32" max="32" width="2.90625" bestFit="1" customWidth="1"/>
    <col min="33" max="33" width="4.7265625" bestFit="1" customWidth="1"/>
    <col min="34" max="34" width="3.90625" bestFit="1" customWidth="1"/>
    <col min="35" max="35" width="4.7265625" bestFit="1" customWidth="1"/>
  </cols>
  <sheetData>
    <row r="1" spans="1:35" ht="15.5" x14ac:dyDescent="0.3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6">
        <v>1</v>
      </c>
      <c r="N1" s="6">
        <v>2</v>
      </c>
      <c r="O1" s="6">
        <v>3</v>
      </c>
      <c r="P1" s="6">
        <v>4</v>
      </c>
      <c r="Q1" s="6">
        <v>5</v>
      </c>
      <c r="R1" s="6">
        <v>8</v>
      </c>
      <c r="S1" s="6">
        <v>9</v>
      </c>
      <c r="T1" s="6">
        <v>10</v>
      </c>
      <c r="U1" s="6">
        <v>11</v>
      </c>
      <c r="V1" s="6">
        <v>12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22</v>
      </c>
      <c r="AC1" s="6">
        <v>23</v>
      </c>
      <c r="AD1" s="6">
        <v>24</v>
      </c>
      <c r="AE1" s="6">
        <v>25</v>
      </c>
      <c r="AF1" s="6">
        <v>26</v>
      </c>
      <c r="AG1" s="6">
        <v>29</v>
      </c>
      <c r="AH1" s="6">
        <v>30</v>
      </c>
      <c r="AI1" s="6">
        <v>31</v>
      </c>
    </row>
    <row r="2" spans="1:35" x14ac:dyDescent="0.35">
      <c r="A2" s="7">
        <v>1</v>
      </c>
      <c r="B2" s="8">
        <v>1</v>
      </c>
      <c r="C2" s="8" t="s">
        <v>12</v>
      </c>
      <c r="D2" s="9" t="s">
        <v>13</v>
      </c>
      <c r="E2" s="9" t="s">
        <v>14</v>
      </c>
      <c r="F2" s="8">
        <v>6399221384</v>
      </c>
      <c r="G2" s="10" t="s">
        <v>15</v>
      </c>
      <c r="H2" s="9" t="s">
        <v>16</v>
      </c>
      <c r="I2" s="11" t="str">
        <f>D2</f>
        <v>NIKITHA ADULA</v>
      </c>
      <c r="J2" s="8">
        <v>2120339506</v>
      </c>
      <c r="K2" s="9" t="s">
        <v>17</v>
      </c>
      <c r="L2" s="9">
        <v>18</v>
      </c>
      <c r="M2" s="8" t="s">
        <v>18</v>
      </c>
      <c r="N2" s="8" t="s">
        <v>18</v>
      </c>
      <c r="O2" s="8" t="s">
        <v>19</v>
      </c>
      <c r="P2" s="8" t="s">
        <v>18</v>
      </c>
      <c r="Q2" s="8" t="s">
        <v>18</v>
      </c>
      <c r="R2" s="8" t="s">
        <v>18</v>
      </c>
      <c r="S2" s="8" t="s">
        <v>18</v>
      </c>
      <c r="T2" s="8" t="s">
        <v>18</v>
      </c>
      <c r="U2" s="8" t="s">
        <v>19</v>
      </c>
      <c r="V2" s="8" t="s">
        <v>18</v>
      </c>
      <c r="W2" s="8" t="s">
        <v>18</v>
      </c>
      <c r="X2" s="8" t="s">
        <v>19</v>
      </c>
      <c r="Y2" s="8" t="s">
        <v>18</v>
      </c>
      <c r="Z2" s="8" t="s">
        <v>18</v>
      </c>
      <c r="AA2" s="8" t="s">
        <v>18</v>
      </c>
      <c r="AB2" s="8" t="s">
        <v>18</v>
      </c>
      <c r="AC2" s="8" t="s">
        <v>18</v>
      </c>
      <c r="AD2" s="8" t="s">
        <v>18</v>
      </c>
      <c r="AE2" s="8" t="s">
        <v>18</v>
      </c>
      <c r="AF2" s="8" t="s">
        <v>18</v>
      </c>
      <c r="AG2" s="8" t="s">
        <v>20</v>
      </c>
      <c r="AH2" s="8" t="s">
        <v>18</v>
      </c>
      <c r="AI2" s="8" t="s">
        <v>18</v>
      </c>
    </row>
    <row r="3" spans="1:35" x14ac:dyDescent="0.35">
      <c r="A3" s="7">
        <v>2</v>
      </c>
      <c r="B3" s="8">
        <v>1</v>
      </c>
      <c r="C3" s="8" t="s">
        <v>21</v>
      </c>
      <c r="D3" s="9" t="s">
        <v>22</v>
      </c>
      <c r="E3" s="9" t="s">
        <v>23</v>
      </c>
      <c r="F3" s="8">
        <v>8732960724</v>
      </c>
      <c r="G3" s="10" t="s">
        <v>24</v>
      </c>
      <c r="H3" s="9" t="s">
        <v>16</v>
      </c>
      <c r="I3" s="11" t="str">
        <f t="shared" ref="I3:I66" si="0">D3</f>
        <v>ADULA LIKHITHA</v>
      </c>
      <c r="J3" s="8">
        <v>2573691990</v>
      </c>
      <c r="K3" s="9" t="s">
        <v>25</v>
      </c>
      <c r="L3" s="9">
        <v>21</v>
      </c>
      <c r="M3" s="8" t="s">
        <v>18</v>
      </c>
      <c r="N3" s="8" t="str">
        <f ca="1">CHOOSE(RANDBETWEEN(1,3),"P","A","L")</f>
        <v>L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 t="s">
        <v>18</v>
      </c>
      <c r="AF3" s="8" t="s">
        <v>18</v>
      </c>
      <c r="AG3" s="8" t="s">
        <v>20</v>
      </c>
      <c r="AH3" s="8" t="s">
        <v>19</v>
      </c>
      <c r="AI3" s="8" t="s">
        <v>20</v>
      </c>
    </row>
    <row r="4" spans="1:35" x14ac:dyDescent="0.35">
      <c r="A4" s="7">
        <v>3</v>
      </c>
      <c r="B4" s="8">
        <v>3</v>
      </c>
      <c r="C4" s="8" t="s">
        <v>26</v>
      </c>
      <c r="D4" s="9" t="s">
        <v>27</v>
      </c>
      <c r="E4" s="9" t="s">
        <v>23</v>
      </c>
      <c r="F4" s="8">
        <v>3928683138</v>
      </c>
      <c r="G4" s="10" t="s">
        <v>28</v>
      </c>
      <c r="H4" s="9" t="s">
        <v>29</v>
      </c>
      <c r="I4" s="11" t="str">
        <f t="shared" si="0"/>
        <v>AKASH RAJPOOT</v>
      </c>
      <c r="J4" s="8">
        <v>8436624675</v>
      </c>
      <c r="K4" s="9" t="s">
        <v>30</v>
      </c>
      <c r="L4" s="9">
        <v>19</v>
      </c>
      <c r="M4" s="8" t="s">
        <v>18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5">
      <c r="A5" s="7">
        <v>4</v>
      </c>
      <c r="B5" s="8">
        <v>3</v>
      </c>
      <c r="C5" s="8" t="s">
        <v>31</v>
      </c>
      <c r="D5" s="9" t="s">
        <v>32</v>
      </c>
      <c r="E5" s="9" t="s">
        <v>23</v>
      </c>
      <c r="F5" s="8">
        <v>6302977515</v>
      </c>
      <c r="G5" s="10" t="s">
        <v>33</v>
      </c>
      <c r="H5" s="9" t="s">
        <v>29</v>
      </c>
      <c r="I5" s="11" t="str">
        <f t="shared" si="0"/>
        <v>ALOK KUMAR</v>
      </c>
      <c r="J5" s="8">
        <v>2124694089</v>
      </c>
      <c r="K5" s="9" t="s">
        <v>34</v>
      </c>
      <c r="L5" s="9">
        <v>19</v>
      </c>
      <c r="M5" s="8" t="s">
        <v>18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1:35" x14ac:dyDescent="0.35">
      <c r="A6" s="7">
        <v>5</v>
      </c>
      <c r="B6" s="8">
        <v>1</v>
      </c>
      <c r="C6" s="8" t="s">
        <v>35</v>
      </c>
      <c r="D6" s="9" t="s">
        <v>36</v>
      </c>
      <c r="E6" s="9" t="s">
        <v>23</v>
      </c>
      <c r="F6" s="8">
        <v>3285643454</v>
      </c>
      <c r="G6" s="10" t="s">
        <v>37</v>
      </c>
      <c r="H6" s="9" t="s">
        <v>29</v>
      </c>
      <c r="I6" s="11" t="str">
        <f t="shared" si="0"/>
        <v>AYUSHMAN SINGH BAGHEL</v>
      </c>
      <c r="J6" s="8">
        <v>6858212965</v>
      </c>
      <c r="K6" s="9" t="s">
        <v>38</v>
      </c>
      <c r="L6" s="9">
        <v>18</v>
      </c>
      <c r="M6" s="8" t="s">
        <v>19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5" x14ac:dyDescent="0.35">
      <c r="A7" s="7">
        <v>6</v>
      </c>
      <c r="B7" s="8">
        <v>3</v>
      </c>
      <c r="C7" s="8" t="s">
        <v>39</v>
      </c>
      <c r="D7" s="9" t="s">
        <v>40</v>
      </c>
      <c r="E7" s="9" t="s">
        <v>14</v>
      </c>
      <c r="F7" s="8">
        <v>6204804746</v>
      </c>
      <c r="G7" s="10" t="s">
        <v>41</v>
      </c>
      <c r="H7" s="9" t="s">
        <v>29</v>
      </c>
      <c r="I7" s="11" t="str">
        <f t="shared" si="0"/>
        <v>B SANDEEP ROY</v>
      </c>
      <c r="J7" s="8">
        <v>1456755625</v>
      </c>
      <c r="K7" s="9" t="s">
        <v>42</v>
      </c>
      <c r="L7" s="9">
        <v>25</v>
      </c>
      <c r="M7" s="8" t="s">
        <v>18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1:35" x14ac:dyDescent="0.35">
      <c r="A8" s="7">
        <v>7</v>
      </c>
      <c r="B8" s="8">
        <v>3</v>
      </c>
      <c r="C8" s="8" t="s">
        <v>43</v>
      </c>
      <c r="D8" s="9" t="s">
        <v>44</v>
      </c>
      <c r="E8" s="9" t="s">
        <v>23</v>
      </c>
      <c r="F8" s="8">
        <v>8402592334</v>
      </c>
      <c r="G8" s="10" t="s">
        <v>45</v>
      </c>
      <c r="H8" s="9" t="s">
        <v>29</v>
      </c>
      <c r="I8" s="11" t="str">
        <f t="shared" si="0"/>
        <v>B. SRINIVASULU</v>
      </c>
      <c r="J8" s="8">
        <v>1716014472</v>
      </c>
      <c r="K8" s="9" t="s">
        <v>46</v>
      </c>
      <c r="L8" s="9">
        <v>18</v>
      </c>
      <c r="M8" s="8" t="s">
        <v>18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1:35" x14ac:dyDescent="0.35">
      <c r="A9" s="7">
        <v>8</v>
      </c>
      <c r="B9" s="8">
        <v>1</v>
      </c>
      <c r="C9" s="8" t="s">
        <v>47</v>
      </c>
      <c r="D9" s="9" t="s">
        <v>48</v>
      </c>
      <c r="E9" s="9" t="s">
        <v>23</v>
      </c>
      <c r="F9" s="8">
        <v>1770577932</v>
      </c>
      <c r="G9" s="10" t="s">
        <v>49</v>
      </c>
      <c r="H9" s="9" t="s">
        <v>29</v>
      </c>
      <c r="I9" s="11" t="str">
        <f t="shared" si="0"/>
        <v>BAIRI PRATHYUSH</v>
      </c>
      <c r="J9" s="8">
        <v>2915576343</v>
      </c>
      <c r="K9" s="9" t="s">
        <v>50</v>
      </c>
      <c r="L9" s="9">
        <v>21</v>
      </c>
      <c r="M9" s="8" t="s">
        <v>18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spans="1:35" x14ac:dyDescent="0.35">
      <c r="A10" s="7">
        <v>9</v>
      </c>
      <c r="B10" s="8">
        <v>1</v>
      </c>
      <c r="C10" s="8" t="s">
        <v>51</v>
      </c>
      <c r="D10" s="9" t="s">
        <v>52</v>
      </c>
      <c r="E10" s="9" t="s">
        <v>14</v>
      </c>
      <c r="F10" s="8">
        <v>1087593685</v>
      </c>
      <c r="G10" s="10" t="s">
        <v>53</v>
      </c>
      <c r="H10" s="9" t="s">
        <v>16</v>
      </c>
      <c r="I10" s="11" t="str">
        <f t="shared" si="0"/>
        <v>BANDAPALLI GANGABHAVANI</v>
      </c>
      <c r="J10" s="8">
        <v>7625492200</v>
      </c>
      <c r="K10" s="9" t="s">
        <v>54</v>
      </c>
      <c r="L10" s="9">
        <v>22</v>
      </c>
      <c r="M10" s="8" t="s">
        <v>19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1:35" x14ac:dyDescent="0.35">
      <c r="A11" s="7">
        <v>10</v>
      </c>
      <c r="B11" s="8">
        <v>2</v>
      </c>
      <c r="C11" s="8" t="s">
        <v>55</v>
      </c>
      <c r="D11" s="9" t="s">
        <v>56</v>
      </c>
      <c r="E11" s="9" t="s">
        <v>23</v>
      </c>
      <c r="F11" s="8">
        <v>1693682470</v>
      </c>
      <c r="G11" s="10" t="s">
        <v>57</v>
      </c>
      <c r="H11" s="9" t="s">
        <v>16</v>
      </c>
      <c r="I11" s="11" t="str">
        <f t="shared" si="0"/>
        <v>BURRI VINITHA</v>
      </c>
      <c r="J11" s="8">
        <v>5262777453</v>
      </c>
      <c r="K11" s="9" t="s">
        <v>58</v>
      </c>
      <c r="L11" s="9">
        <v>19</v>
      </c>
      <c r="M11" s="8" t="s">
        <v>18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spans="1:35" x14ac:dyDescent="0.35">
      <c r="A12" s="7">
        <v>11</v>
      </c>
      <c r="B12" s="8">
        <v>2</v>
      </c>
      <c r="C12" s="8" t="s">
        <v>59</v>
      </c>
      <c r="D12" s="9" t="s">
        <v>60</v>
      </c>
      <c r="E12" s="9" t="s">
        <v>23</v>
      </c>
      <c r="F12" s="8">
        <v>1821308586</v>
      </c>
      <c r="G12" s="10" t="s">
        <v>61</v>
      </c>
      <c r="H12" s="9" t="s">
        <v>29</v>
      </c>
      <c r="I12" s="11" t="str">
        <f t="shared" si="0"/>
        <v>CHANDRA SAMPATH KUMAR</v>
      </c>
      <c r="J12" s="8">
        <v>3313353085</v>
      </c>
      <c r="K12" s="9" t="s">
        <v>62</v>
      </c>
      <c r="L12" s="9">
        <v>21</v>
      </c>
      <c r="M12" s="8" t="s">
        <v>18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x14ac:dyDescent="0.35">
      <c r="A13" s="7">
        <v>12</v>
      </c>
      <c r="B13" s="8">
        <v>1</v>
      </c>
      <c r="C13" s="8" t="s">
        <v>63</v>
      </c>
      <c r="D13" s="9" t="s">
        <v>64</v>
      </c>
      <c r="E13" s="9" t="s">
        <v>23</v>
      </c>
      <c r="F13" s="8">
        <v>1683546545</v>
      </c>
      <c r="G13" s="10" t="s">
        <v>65</v>
      </c>
      <c r="H13" s="9" t="s">
        <v>29</v>
      </c>
      <c r="I13" s="11" t="str">
        <f t="shared" si="0"/>
        <v>CHINNAKOTLA SURYA TEJA</v>
      </c>
      <c r="J13" s="8">
        <v>6225939300</v>
      </c>
      <c r="K13" s="9" t="s">
        <v>66</v>
      </c>
      <c r="L13" s="9">
        <v>22</v>
      </c>
      <c r="M13" s="8" t="s">
        <v>18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x14ac:dyDescent="0.35">
      <c r="A14" s="7">
        <v>13</v>
      </c>
      <c r="B14" s="8">
        <v>3</v>
      </c>
      <c r="C14" s="8" t="s">
        <v>67</v>
      </c>
      <c r="D14" s="9" t="s">
        <v>68</v>
      </c>
      <c r="E14" s="9" t="s">
        <v>23</v>
      </c>
      <c r="F14" s="8">
        <v>5506439807</v>
      </c>
      <c r="G14" s="10" t="s">
        <v>69</v>
      </c>
      <c r="H14" s="9" t="s">
        <v>16</v>
      </c>
      <c r="I14" s="11" t="str">
        <f t="shared" si="0"/>
        <v>DASARI VIMALA</v>
      </c>
      <c r="J14" s="8">
        <v>5760440421</v>
      </c>
      <c r="K14" s="9" t="s">
        <v>70</v>
      </c>
      <c r="L14" s="9">
        <v>20</v>
      </c>
      <c r="M14" s="8" t="s">
        <v>18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x14ac:dyDescent="0.35">
      <c r="A15" s="7">
        <v>14</v>
      </c>
      <c r="B15" s="8">
        <v>1</v>
      </c>
      <c r="C15" s="8" t="s">
        <v>71</v>
      </c>
      <c r="D15" s="9" t="s">
        <v>72</v>
      </c>
      <c r="E15" s="9" t="s">
        <v>14</v>
      </c>
      <c r="F15" s="8">
        <v>3565997600</v>
      </c>
      <c r="G15" s="10" t="s">
        <v>73</v>
      </c>
      <c r="H15" s="9" t="s">
        <v>29</v>
      </c>
      <c r="I15" s="11" t="str">
        <f t="shared" si="0"/>
        <v>DEVALLA DEEPAK</v>
      </c>
      <c r="J15" s="8">
        <v>8490923938</v>
      </c>
      <c r="K15" s="9" t="s">
        <v>74</v>
      </c>
      <c r="L15" s="9">
        <v>17</v>
      </c>
      <c r="M15" s="8" t="s">
        <v>18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x14ac:dyDescent="0.35">
      <c r="A16" s="7">
        <v>15</v>
      </c>
      <c r="B16" s="8">
        <v>2</v>
      </c>
      <c r="C16" s="8" t="s">
        <v>75</v>
      </c>
      <c r="D16" s="9" t="s">
        <v>76</v>
      </c>
      <c r="E16" s="9" t="s">
        <v>23</v>
      </c>
      <c r="F16" s="8">
        <v>2685014153</v>
      </c>
      <c r="G16" s="10" t="s">
        <v>77</v>
      </c>
      <c r="H16" s="9" t="s">
        <v>16</v>
      </c>
      <c r="I16" s="11" t="str">
        <f t="shared" si="0"/>
        <v>DEVKATHE KOMAL</v>
      </c>
      <c r="J16" s="8">
        <v>7776371742</v>
      </c>
      <c r="K16" s="9" t="s">
        <v>78</v>
      </c>
      <c r="L16" s="9">
        <v>20</v>
      </c>
      <c r="M16" s="8" t="s">
        <v>18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r="17" spans="1:35" x14ac:dyDescent="0.35">
      <c r="A17" s="7">
        <v>16</v>
      </c>
      <c r="B17" s="8">
        <v>3</v>
      </c>
      <c r="C17" s="8" t="s">
        <v>79</v>
      </c>
      <c r="D17" s="9" t="s">
        <v>80</v>
      </c>
      <c r="E17" s="9" t="s">
        <v>23</v>
      </c>
      <c r="F17" s="8">
        <v>8144007188</v>
      </c>
      <c r="G17" s="10" t="s">
        <v>81</v>
      </c>
      <c r="H17" s="9" t="s">
        <v>29</v>
      </c>
      <c r="I17" s="11" t="str">
        <f t="shared" si="0"/>
        <v>EERAMMAGARI RAVITEJA</v>
      </c>
      <c r="J17" s="8">
        <v>4110668493</v>
      </c>
      <c r="K17" s="9" t="s">
        <v>82</v>
      </c>
      <c r="L17" s="9">
        <v>18</v>
      </c>
      <c r="M17" s="8" t="s">
        <v>19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x14ac:dyDescent="0.35">
      <c r="A18" s="7">
        <v>17</v>
      </c>
      <c r="B18" s="8">
        <v>1</v>
      </c>
      <c r="C18" s="8" t="s">
        <v>83</v>
      </c>
      <c r="D18" s="9" t="s">
        <v>84</v>
      </c>
      <c r="E18" s="9" t="s">
        <v>14</v>
      </c>
      <c r="F18" s="8">
        <v>5451418853</v>
      </c>
      <c r="G18" s="10" t="s">
        <v>85</v>
      </c>
      <c r="H18" s="9" t="s">
        <v>16</v>
      </c>
      <c r="I18" s="11" t="str">
        <f t="shared" si="0"/>
        <v>ELLENDULA SUPRIYA</v>
      </c>
      <c r="J18" s="8">
        <v>2801450939</v>
      </c>
      <c r="K18" s="9" t="s">
        <v>86</v>
      </c>
      <c r="L18" s="9">
        <v>20</v>
      </c>
      <c r="M18" s="8" t="s">
        <v>20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x14ac:dyDescent="0.35">
      <c r="A19" s="7">
        <v>18</v>
      </c>
      <c r="B19" s="8">
        <v>3</v>
      </c>
      <c r="C19" s="8" t="s">
        <v>87</v>
      </c>
      <c r="D19" s="9" t="s">
        <v>88</v>
      </c>
      <c r="E19" s="9" t="s">
        <v>23</v>
      </c>
      <c r="F19" s="8">
        <v>2352093828</v>
      </c>
      <c r="G19" s="10" t="s">
        <v>89</v>
      </c>
      <c r="H19" s="9" t="s">
        <v>16</v>
      </c>
      <c r="I19" s="11" t="str">
        <f t="shared" si="0"/>
        <v>GADIYARAM VARSHA</v>
      </c>
      <c r="J19" s="8">
        <v>3986948366</v>
      </c>
      <c r="K19" s="9" t="s">
        <v>90</v>
      </c>
      <c r="L19" s="9">
        <v>17</v>
      </c>
      <c r="M19" s="8" t="s">
        <v>18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x14ac:dyDescent="0.35">
      <c r="A20" s="7">
        <v>19</v>
      </c>
      <c r="B20" s="8">
        <v>2</v>
      </c>
      <c r="C20" s="8" t="s">
        <v>91</v>
      </c>
      <c r="D20" s="9" t="s">
        <v>92</v>
      </c>
      <c r="E20" s="9" t="s">
        <v>23</v>
      </c>
      <c r="F20" s="8">
        <v>4851546652</v>
      </c>
      <c r="G20" s="10" t="s">
        <v>93</v>
      </c>
      <c r="H20" s="9" t="s">
        <v>16</v>
      </c>
      <c r="I20" s="11" t="str">
        <f t="shared" si="0"/>
        <v>GAIKWAD SRUSHTI</v>
      </c>
      <c r="J20" s="8">
        <v>5137188101</v>
      </c>
      <c r="K20" s="9" t="s">
        <v>94</v>
      </c>
      <c r="L20" s="9">
        <v>20</v>
      </c>
      <c r="M20" s="8" t="s">
        <v>20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x14ac:dyDescent="0.35">
      <c r="A21" s="7">
        <v>20</v>
      </c>
      <c r="B21" s="8">
        <v>2</v>
      </c>
      <c r="C21" s="8" t="s">
        <v>95</v>
      </c>
      <c r="D21" s="9" t="s">
        <v>96</v>
      </c>
      <c r="E21" s="9" t="s">
        <v>14</v>
      </c>
      <c r="F21" s="8">
        <v>6604423032</v>
      </c>
      <c r="G21" s="10" t="s">
        <v>97</v>
      </c>
      <c r="H21" s="9" t="s">
        <v>29</v>
      </c>
      <c r="I21" s="11" t="str">
        <f t="shared" si="0"/>
        <v>GAJJELA GIRI</v>
      </c>
      <c r="J21" s="8">
        <v>6351278699</v>
      </c>
      <c r="K21" s="9" t="s">
        <v>98</v>
      </c>
      <c r="L21" s="9">
        <v>17</v>
      </c>
      <c r="M21" s="8" t="s">
        <v>18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x14ac:dyDescent="0.35">
      <c r="A22" s="7">
        <v>21</v>
      </c>
      <c r="B22" s="8">
        <v>2</v>
      </c>
      <c r="C22" s="8" t="s">
        <v>99</v>
      </c>
      <c r="D22" s="9" t="s">
        <v>100</v>
      </c>
      <c r="E22" s="9" t="s">
        <v>14</v>
      </c>
      <c r="F22" s="8">
        <v>4267924443</v>
      </c>
      <c r="G22" s="10" t="s">
        <v>101</v>
      </c>
      <c r="H22" s="9" t="s">
        <v>16</v>
      </c>
      <c r="I22" s="11" t="str">
        <f t="shared" si="0"/>
        <v>GARAPATI GAYATHRI</v>
      </c>
      <c r="J22" s="8">
        <v>1117078113</v>
      </c>
      <c r="K22" s="9" t="s">
        <v>102</v>
      </c>
      <c r="L22" s="9">
        <v>21</v>
      </c>
      <c r="M22" s="8" t="s">
        <v>18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x14ac:dyDescent="0.35">
      <c r="A23" s="7">
        <v>22</v>
      </c>
      <c r="B23" s="8">
        <v>2</v>
      </c>
      <c r="C23" s="8" t="s">
        <v>103</v>
      </c>
      <c r="D23" s="9" t="s">
        <v>104</v>
      </c>
      <c r="E23" s="9" t="s">
        <v>23</v>
      </c>
      <c r="F23" s="8">
        <v>2776428499</v>
      </c>
      <c r="G23" s="10" t="s">
        <v>105</v>
      </c>
      <c r="H23" s="9" t="s">
        <v>29</v>
      </c>
      <c r="I23" s="11" t="str">
        <f t="shared" si="0"/>
        <v>GOLI SAI LOKESH</v>
      </c>
      <c r="J23" s="8">
        <v>4237487936</v>
      </c>
      <c r="K23" s="9" t="s">
        <v>106</v>
      </c>
      <c r="L23" s="9">
        <v>20</v>
      </c>
      <c r="M23" s="8" t="s">
        <v>19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x14ac:dyDescent="0.35">
      <c r="A24" s="7">
        <v>23</v>
      </c>
      <c r="B24" s="8">
        <v>3</v>
      </c>
      <c r="C24" s="8" t="s">
        <v>107</v>
      </c>
      <c r="D24" s="9" t="s">
        <v>108</v>
      </c>
      <c r="E24" s="9" t="s">
        <v>23</v>
      </c>
      <c r="F24" s="8">
        <v>2344591250</v>
      </c>
      <c r="G24" s="10" t="s">
        <v>109</v>
      </c>
      <c r="H24" s="9" t="s">
        <v>16</v>
      </c>
      <c r="I24" s="11" t="str">
        <f t="shared" si="0"/>
        <v>GURRAM YAMINI</v>
      </c>
      <c r="J24" s="8">
        <v>6333677229</v>
      </c>
      <c r="K24" s="9" t="s">
        <v>110</v>
      </c>
      <c r="L24" s="9">
        <v>21</v>
      </c>
      <c r="M24" s="8" t="s">
        <v>18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x14ac:dyDescent="0.35">
      <c r="A25" s="7">
        <v>24</v>
      </c>
      <c r="B25" s="8">
        <v>1</v>
      </c>
      <c r="C25" s="8" t="s">
        <v>111</v>
      </c>
      <c r="D25" s="9" t="s">
        <v>112</v>
      </c>
      <c r="E25" s="9" t="s">
        <v>23</v>
      </c>
      <c r="F25" s="8">
        <v>4564000793</v>
      </c>
      <c r="G25" s="10" t="s">
        <v>113</v>
      </c>
      <c r="H25" s="9" t="s">
        <v>29</v>
      </c>
      <c r="I25" s="11" t="str">
        <f t="shared" si="0"/>
        <v>HARI OM RAI</v>
      </c>
      <c r="J25" s="8">
        <v>1992483996</v>
      </c>
      <c r="K25" s="9" t="s">
        <v>114</v>
      </c>
      <c r="L25" s="9">
        <v>18</v>
      </c>
      <c r="M25" s="8" t="s">
        <v>19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x14ac:dyDescent="0.35">
      <c r="A26" s="7">
        <v>25</v>
      </c>
      <c r="B26" s="8">
        <v>1</v>
      </c>
      <c r="C26" s="8" t="s">
        <v>115</v>
      </c>
      <c r="D26" s="9" t="s">
        <v>116</v>
      </c>
      <c r="E26" s="9" t="s">
        <v>23</v>
      </c>
      <c r="F26" s="8">
        <v>7831800139</v>
      </c>
      <c r="G26" s="10" t="s">
        <v>117</v>
      </c>
      <c r="H26" s="9" t="s">
        <v>29</v>
      </c>
      <c r="I26" s="11" t="str">
        <f t="shared" si="0"/>
        <v>JADHAV YOGESH DHARAMSIGH</v>
      </c>
      <c r="J26" s="8">
        <v>7002671776</v>
      </c>
      <c r="K26" s="9" t="s">
        <v>118</v>
      </c>
      <c r="L26" s="9">
        <v>19</v>
      </c>
      <c r="M26" s="8" t="s">
        <v>20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  <row r="27" spans="1:35" x14ac:dyDescent="0.35">
      <c r="A27" s="7">
        <v>26</v>
      </c>
      <c r="B27" s="8">
        <v>1</v>
      </c>
      <c r="C27" s="8" t="s">
        <v>119</v>
      </c>
      <c r="D27" s="9" t="s">
        <v>120</v>
      </c>
      <c r="E27" s="9" t="s">
        <v>23</v>
      </c>
      <c r="F27" s="8">
        <v>1359937879</v>
      </c>
      <c r="G27" s="10" t="s">
        <v>121</v>
      </c>
      <c r="H27" s="9" t="s">
        <v>16</v>
      </c>
      <c r="I27" s="11" t="str">
        <f t="shared" si="0"/>
        <v>K. SANTOSHI</v>
      </c>
      <c r="J27" s="8">
        <v>4827283289</v>
      </c>
      <c r="K27" s="9" t="s">
        <v>122</v>
      </c>
      <c r="L27" s="9">
        <v>27</v>
      </c>
      <c r="M27" s="8" t="s">
        <v>19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35" x14ac:dyDescent="0.35">
      <c r="A28" s="7">
        <v>27</v>
      </c>
      <c r="B28" s="8">
        <v>3</v>
      </c>
      <c r="C28" s="8" t="s">
        <v>123</v>
      </c>
      <c r="D28" s="9" t="s">
        <v>124</v>
      </c>
      <c r="E28" s="9" t="s">
        <v>14</v>
      </c>
      <c r="F28" s="8">
        <v>8357059907</v>
      </c>
      <c r="G28" s="10" t="s">
        <v>125</v>
      </c>
      <c r="H28" s="9" t="s">
        <v>16</v>
      </c>
      <c r="I28" s="11" t="str">
        <f t="shared" si="0"/>
        <v>KALIGOTA NIHARIKA</v>
      </c>
      <c r="J28" s="8">
        <v>8320036132</v>
      </c>
      <c r="K28" s="9" t="s">
        <v>126</v>
      </c>
      <c r="L28" s="9">
        <v>18</v>
      </c>
      <c r="M28" s="8" t="s">
        <v>18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x14ac:dyDescent="0.35">
      <c r="A29" s="7">
        <v>28</v>
      </c>
      <c r="B29" s="8">
        <v>2</v>
      </c>
      <c r="C29" s="8" t="s">
        <v>127</v>
      </c>
      <c r="D29" s="9" t="s">
        <v>128</v>
      </c>
      <c r="E29" s="9" t="s">
        <v>23</v>
      </c>
      <c r="F29" s="8">
        <v>8195300576</v>
      </c>
      <c r="G29" s="10" t="s">
        <v>129</v>
      </c>
      <c r="H29" s="9" t="s">
        <v>16</v>
      </c>
      <c r="I29" s="11" t="str">
        <f t="shared" si="0"/>
        <v>KALPANA KODARI</v>
      </c>
      <c r="J29" s="8">
        <v>8198639598</v>
      </c>
      <c r="K29" s="9" t="s">
        <v>130</v>
      </c>
      <c r="L29" s="9">
        <v>22</v>
      </c>
      <c r="M29" s="8" t="s">
        <v>18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</row>
    <row r="30" spans="1:35" x14ac:dyDescent="0.35">
      <c r="A30" s="7">
        <v>29</v>
      </c>
      <c r="B30" s="8">
        <v>2</v>
      </c>
      <c r="C30" s="8" t="s">
        <v>131</v>
      </c>
      <c r="D30" s="9" t="s">
        <v>132</v>
      </c>
      <c r="E30" s="9" t="s">
        <v>23</v>
      </c>
      <c r="F30" s="8">
        <v>3908490120</v>
      </c>
      <c r="G30" s="10" t="s">
        <v>133</v>
      </c>
      <c r="H30" s="9" t="s">
        <v>29</v>
      </c>
      <c r="I30" s="11" t="str">
        <f t="shared" si="0"/>
        <v>KANCHA AKASH</v>
      </c>
      <c r="J30" s="8">
        <v>6600384368</v>
      </c>
      <c r="K30" s="9" t="s">
        <v>134</v>
      </c>
      <c r="L30" s="9">
        <v>20</v>
      </c>
      <c r="M30" s="8" t="s">
        <v>18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35" x14ac:dyDescent="0.35">
      <c r="A31" s="7">
        <v>30</v>
      </c>
      <c r="B31" s="8">
        <v>3</v>
      </c>
      <c r="C31" s="8" t="s">
        <v>135</v>
      </c>
      <c r="D31" s="9" t="s">
        <v>136</v>
      </c>
      <c r="E31" s="9" t="s">
        <v>23</v>
      </c>
      <c r="F31" s="8">
        <v>6654686097</v>
      </c>
      <c r="G31" s="10" t="s">
        <v>137</v>
      </c>
      <c r="H31" s="9" t="s">
        <v>29</v>
      </c>
      <c r="I31" s="11" t="str">
        <f t="shared" si="0"/>
        <v>KASTURI SAI MAHESH</v>
      </c>
      <c r="J31" s="8">
        <v>6763788621</v>
      </c>
      <c r="K31" s="9" t="s">
        <v>138</v>
      </c>
      <c r="L31" s="9">
        <v>17</v>
      </c>
      <c r="M31" s="8" t="s">
        <v>18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x14ac:dyDescent="0.35">
      <c r="A32" s="7">
        <v>31</v>
      </c>
      <c r="B32" s="8">
        <v>2</v>
      </c>
      <c r="C32" s="8" t="s">
        <v>139</v>
      </c>
      <c r="D32" s="9" t="s">
        <v>140</v>
      </c>
      <c r="E32" s="9" t="s">
        <v>23</v>
      </c>
      <c r="F32" s="8">
        <v>3176554504</v>
      </c>
      <c r="G32" s="10" t="s">
        <v>141</v>
      </c>
      <c r="H32" s="9" t="s">
        <v>29</v>
      </c>
      <c r="I32" s="11" t="str">
        <f t="shared" si="0"/>
        <v>LOVE TIWARI</v>
      </c>
      <c r="J32" s="8">
        <v>7070543329</v>
      </c>
      <c r="K32" s="9" t="s">
        <v>142</v>
      </c>
      <c r="L32" s="9">
        <v>22</v>
      </c>
      <c r="M32" s="8" t="s">
        <v>18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x14ac:dyDescent="0.35">
      <c r="A33" s="7">
        <v>32</v>
      </c>
      <c r="B33" s="8">
        <v>1</v>
      </c>
      <c r="C33" s="8" t="s">
        <v>143</v>
      </c>
      <c r="D33" s="9" t="s">
        <v>144</v>
      </c>
      <c r="E33" s="9" t="s">
        <v>14</v>
      </c>
      <c r="F33" s="8">
        <v>7375541777</v>
      </c>
      <c r="G33" s="10" t="s">
        <v>145</v>
      </c>
      <c r="H33" s="9" t="s">
        <v>29</v>
      </c>
      <c r="I33" s="11" t="str">
        <f t="shared" si="0"/>
        <v>M. BALAJI</v>
      </c>
      <c r="J33" s="8">
        <v>2479994830</v>
      </c>
      <c r="K33" s="9" t="s">
        <v>146</v>
      </c>
      <c r="L33" s="9">
        <v>19</v>
      </c>
      <c r="M33" s="8" t="s">
        <v>18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x14ac:dyDescent="0.35">
      <c r="A34" s="7">
        <v>33</v>
      </c>
      <c r="B34" s="8">
        <v>3</v>
      </c>
      <c r="C34" s="8" t="s">
        <v>147</v>
      </c>
      <c r="D34" s="9" t="s">
        <v>148</v>
      </c>
      <c r="E34" s="9" t="s">
        <v>14</v>
      </c>
      <c r="F34" s="8">
        <v>2307603936</v>
      </c>
      <c r="G34" s="10" t="s">
        <v>149</v>
      </c>
      <c r="H34" s="9" t="s">
        <v>16</v>
      </c>
      <c r="I34" s="11" t="str">
        <f t="shared" si="0"/>
        <v>MADHI VAISHNAVI</v>
      </c>
      <c r="J34" s="8">
        <v>2464662826</v>
      </c>
      <c r="K34" s="12">
        <v>37853</v>
      </c>
      <c r="L34" s="9">
        <v>20</v>
      </c>
      <c r="M34" s="8" t="s">
        <v>18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</row>
    <row r="35" spans="1:35" x14ac:dyDescent="0.35">
      <c r="A35" s="7">
        <v>34</v>
      </c>
      <c r="B35" s="8">
        <v>2</v>
      </c>
      <c r="C35" s="8" t="s">
        <v>150</v>
      </c>
      <c r="D35" s="9" t="s">
        <v>151</v>
      </c>
      <c r="E35" s="9" t="s">
        <v>23</v>
      </c>
      <c r="F35" s="8">
        <v>7539961295</v>
      </c>
      <c r="G35" s="10" t="s">
        <v>152</v>
      </c>
      <c r="H35" s="9" t="s">
        <v>16</v>
      </c>
      <c r="I35" s="11" t="str">
        <f t="shared" si="0"/>
        <v>MANDALOJU NAGALAXMI</v>
      </c>
      <c r="J35" s="8">
        <v>7329763453</v>
      </c>
      <c r="K35" s="9" t="s">
        <v>153</v>
      </c>
      <c r="L35" s="9">
        <v>18</v>
      </c>
      <c r="M35" s="8" t="s">
        <v>18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35" x14ac:dyDescent="0.35">
      <c r="A36" s="7">
        <v>35</v>
      </c>
      <c r="B36" s="8">
        <v>1</v>
      </c>
      <c r="C36" s="8" t="s">
        <v>154</v>
      </c>
      <c r="D36" s="9" t="s">
        <v>155</v>
      </c>
      <c r="E36" s="9" t="s">
        <v>23</v>
      </c>
      <c r="F36" s="8">
        <v>8714929594</v>
      </c>
      <c r="G36" s="10" t="s">
        <v>156</v>
      </c>
      <c r="H36" s="9" t="s">
        <v>16</v>
      </c>
      <c r="I36" s="11" t="str">
        <f t="shared" si="0"/>
        <v>MANIKYALA RAMADEVI</v>
      </c>
      <c r="J36" s="8">
        <v>1027318203</v>
      </c>
      <c r="K36" s="9" t="s">
        <v>157</v>
      </c>
      <c r="L36" s="9">
        <v>18</v>
      </c>
      <c r="M36" s="8" t="s">
        <v>18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x14ac:dyDescent="0.35">
      <c r="A37" s="7">
        <v>36</v>
      </c>
      <c r="B37" s="8">
        <v>3</v>
      </c>
      <c r="C37" s="8" t="s">
        <v>158</v>
      </c>
      <c r="D37" s="9" t="s">
        <v>159</v>
      </c>
      <c r="E37" s="9" t="s">
        <v>14</v>
      </c>
      <c r="F37" s="8">
        <v>6748495954</v>
      </c>
      <c r="G37" s="10" t="s">
        <v>160</v>
      </c>
      <c r="H37" s="9" t="s">
        <v>16</v>
      </c>
      <c r="I37" s="11" t="str">
        <f t="shared" si="0"/>
        <v>MASKA PAVANI</v>
      </c>
      <c r="J37" s="8">
        <v>4012125534</v>
      </c>
      <c r="K37" s="9" t="s">
        <v>161</v>
      </c>
      <c r="L37" s="9">
        <v>17</v>
      </c>
      <c r="M37" s="8" t="s">
        <v>18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1:35" x14ac:dyDescent="0.35">
      <c r="A38" s="7">
        <v>37</v>
      </c>
      <c r="B38" s="8">
        <v>3</v>
      </c>
      <c r="C38" s="8" t="s">
        <v>162</v>
      </c>
      <c r="D38" s="9" t="s">
        <v>163</v>
      </c>
      <c r="E38" s="9" t="s">
        <v>23</v>
      </c>
      <c r="F38" s="8">
        <v>5598318903</v>
      </c>
      <c r="G38" s="10" t="s">
        <v>164</v>
      </c>
      <c r="H38" s="9" t="s">
        <v>16</v>
      </c>
      <c r="I38" s="11" t="str">
        <f t="shared" si="0"/>
        <v>MEGHAGNI MUKHERJEE</v>
      </c>
      <c r="J38" s="8">
        <v>8606299440</v>
      </c>
      <c r="K38" s="9" t="s">
        <v>165</v>
      </c>
      <c r="L38" s="9">
        <v>18</v>
      </c>
      <c r="M38" s="8" t="s">
        <v>18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1:35" x14ac:dyDescent="0.35">
      <c r="A39" s="7">
        <v>38</v>
      </c>
      <c r="B39" s="8">
        <v>1</v>
      </c>
      <c r="C39" s="8" t="s">
        <v>166</v>
      </c>
      <c r="D39" s="9" t="s">
        <v>167</v>
      </c>
      <c r="E39" s="9" t="s">
        <v>23</v>
      </c>
      <c r="F39" s="8">
        <v>5366755536</v>
      </c>
      <c r="G39" s="10" t="s">
        <v>168</v>
      </c>
      <c r="H39" s="9" t="s">
        <v>29</v>
      </c>
      <c r="I39" s="11" t="str">
        <f t="shared" si="0"/>
        <v>N LAXMI NARASIMHA</v>
      </c>
      <c r="J39" s="8">
        <v>4099577077</v>
      </c>
      <c r="K39" s="9" t="s">
        <v>169</v>
      </c>
      <c r="L39" s="9">
        <v>18</v>
      </c>
      <c r="M39" s="8" t="s">
        <v>18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35" x14ac:dyDescent="0.35">
      <c r="A40" s="7">
        <v>39</v>
      </c>
      <c r="B40" s="8">
        <v>3</v>
      </c>
      <c r="C40" s="8" t="s">
        <v>170</v>
      </c>
      <c r="D40" s="9" t="s">
        <v>171</v>
      </c>
      <c r="E40" s="9" t="s">
        <v>14</v>
      </c>
      <c r="F40" s="8">
        <v>5685425899</v>
      </c>
      <c r="G40" s="10" t="s">
        <v>172</v>
      </c>
      <c r="H40" s="9" t="s">
        <v>16</v>
      </c>
      <c r="I40" s="11" t="str">
        <f t="shared" si="0"/>
        <v>NANAPURAJ LAHARIKA</v>
      </c>
      <c r="J40" s="8">
        <v>3700957702</v>
      </c>
      <c r="K40" s="9" t="s">
        <v>173</v>
      </c>
      <c r="L40" s="9">
        <v>20</v>
      </c>
      <c r="M40" s="8" t="s">
        <v>18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1:35" x14ac:dyDescent="0.35">
      <c r="A41" s="7">
        <v>40</v>
      </c>
      <c r="B41" s="8">
        <v>3</v>
      </c>
      <c r="C41" s="8" t="s">
        <v>174</v>
      </c>
      <c r="D41" s="9" t="s">
        <v>175</v>
      </c>
      <c r="E41" s="9" t="s">
        <v>14</v>
      </c>
      <c r="F41" s="8">
        <v>8546891943</v>
      </c>
      <c r="G41" s="10" t="s">
        <v>176</v>
      </c>
      <c r="H41" s="9" t="s">
        <v>29</v>
      </c>
      <c r="I41" s="11" t="str">
        <f t="shared" si="0"/>
        <v>NARRA VENKATA SAI</v>
      </c>
      <c r="J41" s="8">
        <v>1351607642</v>
      </c>
      <c r="K41" s="9" t="s">
        <v>177</v>
      </c>
      <c r="L41" s="9">
        <v>21</v>
      </c>
      <c r="M41" s="8" t="s">
        <v>18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</row>
    <row r="42" spans="1:35" x14ac:dyDescent="0.35">
      <c r="A42" s="7">
        <v>41</v>
      </c>
      <c r="B42" s="8">
        <v>3</v>
      </c>
      <c r="C42" s="8" t="s">
        <v>178</v>
      </c>
      <c r="D42" s="9" t="s">
        <v>179</v>
      </c>
      <c r="E42" s="9" t="s">
        <v>14</v>
      </c>
      <c r="F42" s="8">
        <v>7905481507</v>
      </c>
      <c r="G42" s="10" t="s">
        <v>180</v>
      </c>
      <c r="H42" s="9" t="s">
        <v>29</v>
      </c>
      <c r="I42" s="11" t="str">
        <f t="shared" si="0"/>
        <v>NAVUDU TEJESH</v>
      </c>
      <c r="J42" s="8">
        <v>4584578764</v>
      </c>
      <c r="K42" s="9" t="s">
        <v>181</v>
      </c>
      <c r="L42" s="9">
        <v>18</v>
      </c>
      <c r="M42" s="8" t="s">
        <v>18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</row>
    <row r="43" spans="1:35" x14ac:dyDescent="0.35">
      <c r="A43" s="7">
        <v>42</v>
      </c>
      <c r="B43" s="8">
        <v>2</v>
      </c>
      <c r="C43" s="8" t="s">
        <v>182</v>
      </c>
      <c r="D43" s="9" t="s">
        <v>183</v>
      </c>
      <c r="E43" s="9" t="s">
        <v>14</v>
      </c>
      <c r="F43" s="8">
        <v>5681445328</v>
      </c>
      <c r="G43" s="10" t="s">
        <v>184</v>
      </c>
      <c r="H43" s="9" t="s">
        <v>16</v>
      </c>
      <c r="I43" s="11" t="str">
        <f t="shared" si="0"/>
        <v>PALLEY SHRAVANI</v>
      </c>
      <c r="J43" s="8">
        <v>7661428150</v>
      </c>
      <c r="K43" s="12">
        <v>38337</v>
      </c>
      <c r="L43" s="9">
        <v>19</v>
      </c>
      <c r="M43" s="8" t="s">
        <v>18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spans="1:35" x14ac:dyDescent="0.35">
      <c r="A44" s="7">
        <v>43</v>
      </c>
      <c r="B44" s="8">
        <v>2</v>
      </c>
      <c r="C44" s="8" t="s">
        <v>185</v>
      </c>
      <c r="D44" s="9" t="s">
        <v>186</v>
      </c>
      <c r="E44" s="9" t="s">
        <v>23</v>
      </c>
      <c r="F44" s="8">
        <v>1576469041</v>
      </c>
      <c r="G44" s="10" t="s">
        <v>187</v>
      </c>
      <c r="H44" s="9" t="s">
        <v>29</v>
      </c>
      <c r="I44" s="11" t="str">
        <f t="shared" si="0"/>
        <v>PAPAKANTI RAJU</v>
      </c>
      <c r="J44" s="8">
        <v>3324864700</v>
      </c>
      <c r="K44" s="9" t="s">
        <v>188</v>
      </c>
      <c r="L44" s="9">
        <v>22</v>
      </c>
      <c r="M44" s="8" t="s">
        <v>18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</row>
    <row r="45" spans="1:35" x14ac:dyDescent="0.35">
      <c r="A45" s="7">
        <v>44</v>
      </c>
      <c r="B45" s="8">
        <v>2</v>
      </c>
      <c r="C45" s="8" t="s">
        <v>189</v>
      </c>
      <c r="D45" s="9" t="s">
        <v>190</v>
      </c>
      <c r="E45" s="9" t="s">
        <v>23</v>
      </c>
      <c r="F45" s="8">
        <v>7244391357</v>
      </c>
      <c r="G45" s="10" t="s">
        <v>191</v>
      </c>
      <c r="H45" s="9" t="s">
        <v>29</v>
      </c>
      <c r="I45" s="11" t="str">
        <f t="shared" si="0"/>
        <v>PRATAPAGIRI NEELAKANTA SASTRY</v>
      </c>
      <c r="J45" s="8">
        <v>1344765434</v>
      </c>
      <c r="K45" s="9" t="s">
        <v>192</v>
      </c>
      <c r="L45" s="9">
        <v>24</v>
      </c>
      <c r="M45" s="8" t="s">
        <v>18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 spans="1:35" x14ac:dyDescent="0.35">
      <c r="A46" s="7">
        <v>45</v>
      </c>
      <c r="B46" s="8">
        <v>1</v>
      </c>
      <c r="C46" s="8" t="s">
        <v>193</v>
      </c>
      <c r="D46" s="9" t="s">
        <v>194</v>
      </c>
      <c r="E46" s="9" t="s">
        <v>23</v>
      </c>
      <c r="F46" s="8">
        <v>5713887644</v>
      </c>
      <c r="G46" s="10" t="s">
        <v>195</v>
      </c>
      <c r="H46" s="9" t="s">
        <v>29</v>
      </c>
      <c r="I46" s="11" t="str">
        <f t="shared" si="0"/>
        <v>PRAVEEN RAJPOOT</v>
      </c>
      <c r="J46" s="8">
        <v>8922958342</v>
      </c>
      <c r="K46" s="9" t="s">
        <v>196</v>
      </c>
      <c r="L46" s="9">
        <v>19</v>
      </c>
      <c r="M46" s="8" t="s">
        <v>18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 spans="1:35" x14ac:dyDescent="0.35">
      <c r="A47" s="7">
        <v>46</v>
      </c>
      <c r="B47" s="8">
        <v>2</v>
      </c>
      <c r="C47" s="8" t="s">
        <v>197</v>
      </c>
      <c r="D47" s="9" t="s">
        <v>198</v>
      </c>
      <c r="E47" s="9" t="s">
        <v>14</v>
      </c>
      <c r="F47" s="8">
        <v>4360003876</v>
      </c>
      <c r="G47" s="10" t="s">
        <v>199</v>
      </c>
      <c r="H47" s="9" t="s">
        <v>29</v>
      </c>
      <c r="I47" s="11" t="str">
        <f t="shared" si="0"/>
        <v>R. VIGNESH</v>
      </c>
      <c r="J47" s="8">
        <v>6311928736</v>
      </c>
      <c r="K47" s="9" t="s">
        <v>200</v>
      </c>
      <c r="L47" s="9">
        <v>19</v>
      </c>
      <c r="M47" s="8" t="s">
        <v>18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 spans="1:35" x14ac:dyDescent="0.35">
      <c r="A48" s="7">
        <v>47</v>
      </c>
      <c r="B48" s="8">
        <v>2</v>
      </c>
      <c r="C48" s="8" t="s">
        <v>201</v>
      </c>
      <c r="D48" s="9" t="s">
        <v>202</v>
      </c>
      <c r="E48" s="9" t="s">
        <v>23</v>
      </c>
      <c r="F48" s="8">
        <v>6232183694</v>
      </c>
      <c r="G48" s="10" t="s">
        <v>203</v>
      </c>
      <c r="H48" s="9" t="s">
        <v>29</v>
      </c>
      <c r="I48" s="11" t="str">
        <f t="shared" si="0"/>
        <v>RACHAMANDUGU AJAYKUMAR</v>
      </c>
      <c r="J48" s="8">
        <v>1358146481</v>
      </c>
      <c r="K48" s="9" t="s">
        <v>204</v>
      </c>
      <c r="L48" s="9">
        <v>19</v>
      </c>
      <c r="M48" s="8" t="s">
        <v>18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 spans="1:35" x14ac:dyDescent="0.35">
      <c r="A49" s="7">
        <v>48</v>
      </c>
      <c r="B49" s="8">
        <v>3</v>
      </c>
      <c r="C49" s="8" t="s">
        <v>205</v>
      </c>
      <c r="D49" s="9" t="s">
        <v>206</v>
      </c>
      <c r="E49" s="9" t="s">
        <v>23</v>
      </c>
      <c r="F49" s="8">
        <v>6682877186</v>
      </c>
      <c r="G49" s="10" t="s">
        <v>207</v>
      </c>
      <c r="H49" s="9" t="s">
        <v>16</v>
      </c>
      <c r="I49" s="11" t="str">
        <f t="shared" si="0"/>
        <v>REVALLI NAGESHWARI</v>
      </c>
      <c r="J49" s="8">
        <v>7997007047</v>
      </c>
      <c r="K49" s="9" t="s">
        <v>208</v>
      </c>
      <c r="L49" s="9">
        <v>20</v>
      </c>
      <c r="M49" s="8" t="s">
        <v>19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 spans="1:35" x14ac:dyDescent="0.35">
      <c r="A50" s="7">
        <v>49</v>
      </c>
      <c r="B50" s="8">
        <v>3</v>
      </c>
      <c r="C50" s="8" t="s">
        <v>209</v>
      </c>
      <c r="D50" s="9" t="s">
        <v>210</v>
      </c>
      <c r="E50" s="9" t="s">
        <v>14</v>
      </c>
      <c r="F50" s="8">
        <v>8911831176</v>
      </c>
      <c r="G50" s="10" t="s">
        <v>211</v>
      </c>
      <c r="H50" s="9" t="s">
        <v>29</v>
      </c>
      <c r="I50" s="11" t="str">
        <f t="shared" si="0"/>
        <v>ROHIT REDDY</v>
      </c>
      <c r="J50" s="8">
        <v>6665134788</v>
      </c>
      <c r="K50" s="9" t="s">
        <v>212</v>
      </c>
      <c r="L50" s="9">
        <v>18</v>
      </c>
      <c r="M50" s="8" t="s">
        <v>18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</row>
    <row r="51" spans="1:35" x14ac:dyDescent="0.35">
      <c r="A51" s="7">
        <v>50</v>
      </c>
      <c r="B51" s="8">
        <v>3</v>
      </c>
      <c r="C51" s="8" t="s">
        <v>213</v>
      </c>
      <c r="D51" s="9" t="s">
        <v>214</v>
      </c>
      <c r="E51" s="9" t="s">
        <v>23</v>
      </c>
      <c r="F51" s="8">
        <v>5328455783</v>
      </c>
      <c r="G51" s="10" t="s">
        <v>215</v>
      </c>
      <c r="H51" s="9" t="s">
        <v>16</v>
      </c>
      <c r="I51" s="11" t="str">
        <f t="shared" si="0"/>
        <v>RUCHI RANJAN</v>
      </c>
      <c r="J51" s="8">
        <v>1065242166</v>
      </c>
      <c r="K51" s="9" t="s">
        <v>216</v>
      </c>
      <c r="L51" s="9">
        <v>18</v>
      </c>
      <c r="M51" s="8" t="s">
        <v>19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 spans="1:35" x14ac:dyDescent="0.35">
      <c r="A52" s="7">
        <v>51</v>
      </c>
      <c r="B52" s="8">
        <v>1</v>
      </c>
      <c r="C52" s="8" t="s">
        <v>217</v>
      </c>
      <c r="D52" s="9" t="s">
        <v>218</v>
      </c>
      <c r="E52" s="9" t="s">
        <v>14</v>
      </c>
      <c r="F52" s="8">
        <v>4825148027</v>
      </c>
      <c r="G52" s="10" t="s">
        <v>219</v>
      </c>
      <c r="H52" s="9" t="s">
        <v>29</v>
      </c>
      <c r="I52" s="11" t="str">
        <f t="shared" si="0"/>
        <v>SHAIK FAHAD</v>
      </c>
      <c r="J52" s="8">
        <v>1828010878</v>
      </c>
      <c r="K52" s="9" t="s">
        <v>220</v>
      </c>
      <c r="L52" s="9">
        <v>19</v>
      </c>
      <c r="M52" s="8" t="s">
        <v>18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</row>
    <row r="53" spans="1:35" x14ac:dyDescent="0.35">
      <c r="A53" s="7">
        <v>52</v>
      </c>
      <c r="B53" s="8">
        <v>3</v>
      </c>
      <c r="C53" s="8" t="s">
        <v>221</v>
      </c>
      <c r="D53" s="9" t="s">
        <v>222</v>
      </c>
      <c r="E53" s="9" t="s">
        <v>23</v>
      </c>
      <c r="F53" s="8">
        <v>3228331930</v>
      </c>
      <c r="G53" s="10" t="s">
        <v>223</v>
      </c>
      <c r="H53" s="9" t="s">
        <v>29</v>
      </c>
      <c r="I53" s="11" t="str">
        <f t="shared" si="0"/>
        <v>SHAIK SAMEER AHMED</v>
      </c>
      <c r="J53" s="8">
        <v>6717092554</v>
      </c>
      <c r="K53" s="9" t="s">
        <v>224</v>
      </c>
      <c r="L53" s="9">
        <v>20</v>
      </c>
      <c r="M53" s="8" t="s">
        <v>19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</row>
    <row r="54" spans="1:35" x14ac:dyDescent="0.35">
      <c r="A54" s="7">
        <v>53</v>
      </c>
      <c r="B54" s="8">
        <v>1</v>
      </c>
      <c r="C54" s="8" t="s">
        <v>225</v>
      </c>
      <c r="D54" s="9" t="s">
        <v>226</v>
      </c>
      <c r="E54" s="9" t="s">
        <v>23</v>
      </c>
      <c r="F54" s="8">
        <v>7158666834</v>
      </c>
      <c r="G54" s="10" t="s">
        <v>227</v>
      </c>
      <c r="H54" s="9" t="s">
        <v>29</v>
      </c>
      <c r="I54" s="11" t="str">
        <f t="shared" si="0"/>
        <v>SHEJUL BALAJI RAMESHWAR</v>
      </c>
      <c r="J54" s="8">
        <v>7178012275</v>
      </c>
      <c r="K54" s="9" t="s">
        <v>228</v>
      </c>
      <c r="L54" s="9">
        <v>20</v>
      </c>
      <c r="M54" s="8" t="s">
        <v>18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 spans="1:35" x14ac:dyDescent="0.35">
      <c r="A55" s="7">
        <v>54</v>
      </c>
      <c r="B55" s="8">
        <v>2</v>
      </c>
      <c r="C55" s="8" t="s">
        <v>229</v>
      </c>
      <c r="D55" s="9" t="s">
        <v>230</v>
      </c>
      <c r="E55" s="9" t="s">
        <v>23</v>
      </c>
      <c r="F55" s="8">
        <v>7998839021</v>
      </c>
      <c r="G55" s="10" t="s">
        <v>231</v>
      </c>
      <c r="H55" s="9" t="s">
        <v>29</v>
      </c>
      <c r="I55" s="11" t="str">
        <f t="shared" si="0"/>
        <v>SHOAIB AKHTAR</v>
      </c>
      <c r="J55" s="8">
        <v>1247692282</v>
      </c>
      <c r="K55" s="9" t="s">
        <v>232</v>
      </c>
      <c r="L55" s="9">
        <v>19</v>
      </c>
      <c r="M55" s="8" t="s">
        <v>19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 spans="1:35" x14ac:dyDescent="0.35">
      <c r="A56" s="7">
        <v>55</v>
      </c>
      <c r="B56" s="8">
        <v>1</v>
      </c>
      <c r="C56" s="8" t="s">
        <v>233</v>
      </c>
      <c r="D56" s="9" t="s">
        <v>234</v>
      </c>
      <c r="E56" s="9" t="s">
        <v>23</v>
      </c>
      <c r="F56" s="8">
        <v>8550635195</v>
      </c>
      <c r="G56" s="10" t="s">
        <v>235</v>
      </c>
      <c r="H56" s="9" t="s">
        <v>16</v>
      </c>
      <c r="I56" s="11" t="str">
        <f t="shared" si="0"/>
        <v>SINGAM KRISHNA VENI</v>
      </c>
      <c r="J56" s="8">
        <v>8502959543</v>
      </c>
      <c r="K56" s="9" t="s">
        <v>236</v>
      </c>
      <c r="L56" s="9">
        <v>19</v>
      </c>
      <c r="M56" s="8" t="s">
        <v>18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</row>
    <row r="57" spans="1:35" x14ac:dyDescent="0.35">
      <c r="A57" s="7">
        <v>56</v>
      </c>
      <c r="B57" s="8">
        <v>3</v>
      </c>
      <c r="C57" s="8" t="s">
        <v>237</v>
      </c>
      <c r="D57" s="9" t="s">
        <v>238</v>
      </c>
      <c r="E57" s="9" t="s">
        <v>23</v>
      </c>
      <c r="F57" s="8">
        <v>8733465367</v>
      </c>
      <c r="G57" s="10" t="s">
        <v>239</v>
      </c>
      <c r="H57" s="9" t="s">
        <v>16</v>
      </c>
      <c r="I57" s="11" t="str">
        <f t="shared" si="0"/>
        <v>SINGUDASU PALLAVI</v>
      </c>
      <c r="J57" s="8">
        <v>2632940404</v>
      </c>
      <c r="K57" s="9" t="s">
        <v>240</v>
      </c>
      <c r="L57" s="9">
        <v>18</v>
      </c>
      <c r="M57" s="8" t="s">
        <v>19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</row>
    <row r="58" spans="1:35" x14ac:dyDescent="0.35">
      <c r="A58" s="7">
        <v>57</v>
      </c>
      <c r="B58" s="8">
        <v>3</v>
      </c>
      <c r="C58" s="8" t="s">
        <v>241</v>
      </c>
      <c r="D58" s="9" t="s">
        <v>242</v>
      </c>
      <c r="E58" s="9" t="s">
        <v>14</v>
      </c>
      <c r="F58" s="8">
        <v>6153044829</v>
      </c>
      <c r="G58" s="10" t="s">
        <v>243</v>
      </c>
      <c r="H58" s="9" t="s">
        <v>29</v>
      </c>
      <c r="I58" s="11" t="str">
        <f t="shared" si="0"/>
        <v>SUBHASHIS PAL</v>
      </c>
      <c r="J58" s="8">
        <v>4599123031</v>
      </c>
      <c r="K58" s="9" t="s">
        <v>244</v>
      </c>
      <c r="L58" s="9">
        <v>19</v>
      </c>
      <c r="M58" s="8" t="s">
        <v>18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</row>
    <row r="59" spans="1:35" x14ac:dyDescent="0.35">
      <c r="A59" s="7">
        <v>58</v>
      </c>
      <c r="B59" s="8">
        <v>3</v>
      </c>
      <c r="C59" s="8" t="s">
        <v>245</v>
      </c>
      <c r="D59" s="9" t="s">
        <v>246</v>
      </c>
      <c r="E59" s="9" t="s">
        <v>23</v>
      </c>
      <c r="F59" s="8">
        <v>4496254693</v>
      </c>
      <c r="G59" s="10" t="s">
        <v>247</v>
      </c>
      <c r="H59" s="9" t="s">
        <v>29</v>
      </c>
      <c r="I59" s="11" t="str">
        <f t="shared" si="0"/>
        <v>SUJEET KUMAR</v>
      </c>
      <c r="J59" s="8">
        <v>8291504175</v>
      </c>
      <c r="K59" s="9" t="s">
        <v>248</v>
      </c>
      <c r="L59" s="9">
        <v>18</v>
      </c>
      <c r="M59" s="8" t="s">
        <v>19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 spans="1:35" x14ac:dyDescent="0.35">
      <c r="A60" s="7">
        <v>59</v>
      </c>
      <c r="B60" s="8">
        <v>1</v>
      </c>
      <c r="C60" s="8" t="s">
        <v>249</v>
      </c>
      <c r="D60" s="9" t="s">
        <v>250</v>
      </c>
      <c r="E60" s="9" t="s">
        <v>23</v>
      </c>
      <c r="F60" s="8">
        <v>2881088394</v>
      </c>
      <c r="G60" s="10" t="s">
        <v>251</v>
      </c>
      <c r="H60" s="9" t="s">
        <v>16</v>
      </c>
      <c r="I60" s="11" t="str">
        <f t="shared" si="0"/>
        <v>SURUCHI RANJAN</v>
      </c>
      <c r="J60" s="8">
        <v>7766204724</v>
      </c>
      <c r="K60" s="9" t="s">
        <v>216</v>
      </c>
      <c r="L60" s="9">
        <v>18</v>
      </c>
      <c r="M60" s="8" t="s">
        <v>20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</row>
    <row r="61" spans="1:35" x14ac:dyDescent="0.35">
      <c r="A61" s="7">
        <v>60</v>
      </c>
      <c r="B61" s="8">
        <v>3</v>
      </c>
      <c r="C61" s="8" t="s">
        <v>252</v>
      </c>
      <c r="D61" s="9" t="s">
        <v>253</v>
      </c>
      <c r="E61" s="9" t="s">
        <v>14</v>
      </c>
      <c r="F61" s="8">
        <v>3401449282</v>
      </c>
      <c r="G61" s="10" t="s">
        <v>254</v>
      </c>
      <c r="H61" s="9" t="s">
        <v>29</v>
      </c>
      <c r="I61" s="11" t="str">
        <f t="shared" si="0"/>
        <v>SUVENDU KHATUA</v>
      </c>
      <c r="J61" s="8">
        <v>8342344652</v>
      </c>
      <c r="K61" s="9" t="s">
        <v>255</v>
      </c>
      <c r="L61" s="9">
        <v>19</v>
      </c>
      <c r="M61" s="8" t="s">
        <v>20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 spans="1:35" x14ac:dyDescent="0.35">
      <c r="A62" s="7">
        <v>61</v>
      </c>
      <c r="B62" s="8">
        <v>2</v>
      </c>
      <c r="C62" s="8" t="s">
        <v>256</v>
      </c>
      <c r="D62" s="9" t="s">
        <v>257</v>
      </c>
      <c r="E62" s="9" t="s">
        <v>23</v>
      </c>
      <c r="F62" s="8">
        <v>4405995363</v>
      </c>
      <c r="G62" s="10" t="s">
        <v>258</v>
      </c>
      <c r="H62" s="9" t="s">
        <v>29</v>
      </c>
      <c r="I62" s="11" t="str">
        <f t="shared" si="0"/>
        <v>SYED ABDUL HAKEEM</v>
      </c>
      <c r="J62" s="8">
        <v>7443835432</v>
      </c>
      <c r="K62" s="9" t="s">
        <v>259</v>
      </c>
      <c r="L62" s="9">
        <v>19</v>
      </c>
      <c r="M62" s="8" t="s">
        <v>20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</row>
    <row r="63" spans="1:35" x14ac:dyDescent="0.35">
      <c r="A63" s="7">
        <v>62</v>
      </c>
      <c r="B63" s="8">
        <v>3</v>
      </c>
      <c r="C63" s="8" t="s">
        <v>260</v>
      </c>
      <c r="D63" s="9" t="s">
        <v>261</v>
      </c>
      <c r="E63" s="9" t="s">
        <v>23</v>
      </c>
      <c r="F63" s="8">
        <v>2219599156</v>
      </c>
      <c r="G63" s="10" t="s">
        <v>262</v>
      </c>
      <c r="H63" s="9" t="s">
        <v>29</v>
      </c>
      <c r="I63" s="11" t="str">
        <f t="shared" si="0"/>
        <v>SYED ABDUL HALEEM</v>
      </c>
      <c r="J63" s="8">
        <v>8853631789</v>
      </c>
      <c r="K63" s="9" t="s">
        <v>259</v>
      </c>
      <c r="L63" s="9">
        <v>19</v>
      </c>
      <c r="M63" s="8" t="s">
        <v>20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</row>
    <row r="64" spans="1:35" x14ac:dyDescent="0.35">
      <c r="A64" s="7">
        <v>63</v>
      </c>
      <c r="B64" s="8">
        <v>2</v>
      </c>
      <c r="C64" s="8" t="s">
        <v>263</v>
      </c>
      <c r="D64" s="9" t="s">
        <v>264</v>
      </c>
      <c r="E64" s="9" t="s">
        <v>14</v>
      </c>
      <c r="F64" s="8">
        <v>3482112190</v>
      </c>
      <c r="G64" s="10" t="s">
        <v>265</v>
      </c>
      <c r="H64" s="9" t="s">
        <v>29</v>
      </c>
      <c r="I64" s="11" t="str">
        <f t="shared" si="0"/>
        <v>SYED ADIL</v>
      </c>
      <c r="J64" s="8">
        <v>1753557010</v>
      </c>
      <c r="K64" s="9" t="s">
        <v>266</v>
      </c>
      <c r="L64" s="9">
        <v>17</v>
      </c>
      <c r="M64" s="8" t="s">
        <v>20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 spans="1:35" x14ac:dyDescent="0.35">
      <c r="A65" s="7">
        <v>64</v>
      </c>
      <c r="B65" s="8">
        <v>1</v>
      </c>
      <c r="C65" s="8" t="s">
        <v>267</v>
      </c>
      <c r="D65" s="9" t="s">
        <v>268</v>
      </c>
      <c r="E65" s="9" t="s">
        <v>23</v>
      </c>
      <c r="F65" s="8">
        <v>8411360361</v>
      </c>
      <c r="G65" s="10" t="s">
        <v>269</v>
      </c>
      <c r="H65" s="9" t="s">
        <v>29</v>
      </c>
      <c r="I65" s="11" t="str">
        <f t="shared" si="0"/>
        <v>VELUPULA SUNIL KUMAR</v>
      </c>
      <c r="J65" s="8">
        <v>2016736479</v>
      </c>
      <c r="K65" s="9" t="s">
        <v>270</v>
      </c>
      <c r="L65" s="9">
        <v>20</v>
      </c>
      <c r="M65" s="8" t="s">
        <v>20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</row>
    <row r="66" spans="1:35" ht="15.5" x14ac:dyDescent="0.35">
      <c r="A66" s="7">
        <v>65</v>
      </c>
      <c r="B66" s="8">
        <v>2</v>
      </c>
      <c r="C66" s="8" t="s">
        <v>271</v>
      </c>
      <c r="D66" s="13" t="s">
        <v>272</v>
      </c>
      <c r="E66" s="13" t="s">
        <v>14</v>
      </c>
      <c r="F66" s="8">
        <v>2842414479</v>
      </c>
      <c r="G66" s="10" t="s">
        <v>273</v>
      </c>
      <c r="H66" s="13" t="s">
        <v>29</v>
      </c>
      <c r="I66" s="11" t="str">
        <f t="shared" si="0"/>
        <v>BALA CHARY</v>
      </c>
      <c r="J66" s="8">
        <v>4761178323</v>
      </c>
      <c r="K66" s="9" t="s">
        <v>274</v>
      </c>
      <c r="L66" s="9">
        <v>18</v>
      </c>
      <c r="M66" s="8" t="s">
        <v>18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</row>
    <row r="67" spans="1:35" ht="15.5" x14ac:dyDescent="0.35">
      <c r="A67" s="7">
        <v>66</v>
      </c>
      <c r="B67" s="8">
        <v>2</v>
      </c>
      <c r="C67" s="8" t="s">
        <v>275</v>
      </c>
      <c r="D67" s="13" t="s">
        <v>276</v>
      </c>
      <c r="E67" s="13" t="s">
        <v>23</v>
      </c>
      <c r="F67" s="8">
        <v>5876113945</v>
      </c>
      <c r="G67" s="10" t="s">
        <v>277</v>
      </c>
      <c r="H67" s="13" t="s">
        <v>16</v>
      </c>
      <c r="I67" s="11" t="str">
        <f t="shared" ref="I67:I81" si="1">D67</f>
        <v>BANDARI SRUJANA</v>
      </c>
      <c r="J67" s="8">
        <v>3607697190</v>
      </c>
      <c r="K67" s="9" t="s">
        <v>278</v>
      </c>
      <c r="L67" s="9">
        <v>18</v>
      </c>
      <c r="M67" s="8" t="s">
        <v>18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 spans="1:35" ht="15.5" x14ac:dyDescent="0.35">
      <c r="A68" s="7">
        <v>67</v>
      </c>
      <c r="B68" s="8">
        <v>2</v>
      </c>
      <c r="C68" s="8" t="s">
        <v>279</v>
      </c>
      <c r="D68" s="13" t="s">
        <v>280</v>
      </c>
      <c r="E68" s="13" t="s">
        <v>23</v>
      </c>
      <c r="F68" s="8">
        <v>4273126076</v>
      </c>
      <c r="G68" s="10" t="s">
        <v>281</v>
      </c>
      <c r="H68" s="13" t="s">
        <v>29</v>
      </c>
      <c r="I68" s="11" t="str">
        <f t="shared" si="1"/>
        <v>DURGA PRASAD</v>
      </c>
      <c r="J68" s="8">
        <v>6389348959</v>
      </c>
      <c r="K68" s="9" t="s">
        <v>282</v>
      </c>
      <c r="L68" s="9">
        <v>21</v>
      </c>
      <c r="M68" s="8" t="s">
        <v>18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 spans="1:35" ht="15.5" x14ac:dyDescent="0.35">
      <c r="A69" s="7">
        <v>68</v>
      </c>
      <c r="B69" s="8">
        <v>3</v>
      </c>
      <c r="C69" s="8" t="s">
        <v>283</v>
      </c>
      <c r="D69" s="13" t="s">
        <v>284</v>
      </c>
      <c r="E69" s="13" t="s">
        <v>23</v>
      </c>
      <c r="F69" s="8">
        <v>8077085042</v>
      </c>
      <c r="G69" s="10" t="s">
        <v>285</v>
      </c>
      <c r="H69" s="13" t="s">
        <v>16</v>
      </c>
      <c r="I69" s="11" t="str">
        <f t="shared" si="1"/>
        <v>K PAVANI</v>
      </c>
      <c r="J69" s="8">
        <v>1974312194</v>
      </c>
      <c r="K69" s="9" t="s">
        <v>286</v>
      </c>
      <c r="L69" s="9">
        <v>25</v>
      </c>
      <c r="M69" s="8" t="s">
        <v>18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 spans="1:35" ht="15.5" x14ac:dyDescent="0.35">
      <c r="A70" s="7">
        <v>69</v>
      </c>
      <c r="B70" s="8">
        <v>3</v>
      </c>
      <c r="C70" s="8" t="s">
        <v>287</v>
      </c>
      <c r="D70" s="13" t="s">
        <v>288</v>
      </c>
      <c r="E70" s="13" t="s">
        <v>14</v>
      </c>
      <c r="F70" s="8">
        <v>8112643867</v>
      </c>
      <c r="G70" s="10" t="s">
        <v>289</v>
      </c>
      <c r="H70" s="13" t="s">
        <v>29</v>
      </c>
      <c r="I70" s="11" t="str">
        <f t="shared" si="1"/>
        <v>M KOMAL RAJ</v>
      </c>
      <c r="J70" s="8">
        <v>2321672644</v>
      </c>
      <c r="K70" s="13" t="s">
        <v>204</v>
      </c>
      <c r="L70" s="9">
        <v>19</v>
      </c>
      <c r="M70" s="8" t="s">
        <v>18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 spans="1:35" ht="15.5" x14ac:dyDescent="0.35">
      <c r="A71" s="7">
        <v>70</v>
      </c>
      <c r="B71" s="8">
        <v>3</v>
      </c>
      <c r="C71" s="8" t="s">
        <v>290</v>
      </c>
      <c r="D71" s="13" t="s">
        <v>291</v>
      </c>
      <c r="E71" s="13" t="s">
        <v>23</v>
      </c>
      <c r="F71" s="8">
        <v>3685782386</v>
      </c>
      <c r="G71" s="10" t="s">
        <v>292</v>
      </c>
      <c r="H71" s="13" t="s">
        <v>16</v>
      </c>
      <c r="I71" s="11" t="str">
        <f t="shared" si="1"/>
        <v>MEDI SANGEETHA</v>
      </c>
      <c r="J71" s="8">
        <v>3097051248</v>
      </c>
      <c r="K71" s="9" t="s">
        <v>98</v>
      </c>
      <c r="L71" s="9">
        <v>17</v>
      </c>
      <c r="M71" s="8" t="s">
        <v>18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</row>
    <row r="72" spans="1:35" ht="15.5" x14ac:dyDescent="0.35">
      <c r="A72" s="7">
        <v>71</v>
      </c>
      <c r="B72" s="8">
        <v>1</v>
      </c>
      <c r="C72" s="8" t="s">
        <v>293</v>
      </c>
      <c r="D72" s="13" t="s">
        <v>294</v>
      </c>
      <c r="E72" s="13" t="s">
        <v>23</v>
      </c>
      <c r="F72" s="8">
        <v>6205596324</v>
      </c>
      <c r="G72" s="10" t="s">
        <v>295</v>
      </c>
      <c r="H72" s="13" t="s">
        <v>29</v>
      </c>
      <c r="I72" s="11" t="str">
        <f t="shared" si="1"/>
        <v>N.PARAMESH</v>
      </c>
      <c r="J72" s="8">
        <v>7432877225</v>
      </c>
      <c r="K72" s="9" t="s">
        <v>296</v>
      </c>
      <c r="L72" s="9">
        <v>19</v>
      </c>
      <c r="M72" s="8" t="s">
        <v>18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</row>
    <row r="73" spans="1:35" ht="15.5" x14ac:dyDescent="0.35">
      <c r="A73" s="7">
        <v>72</v>
      </c>
      <c r="B73" s="8">
        <v>2</v>
      </c>
      <c r="C73" s="8" t="s">
        <v>297</v>
      </c>
      <c r="D73" s="13" t="s">
        <v>298</v>
      </c>
      <c r="E73" s="13" t="s">
        <v>14</v>
      </c>
      <c r="F73" s="8">
        <v>6578497608</v>
      </c>
      <c r="G73" s="10" t="s">
        <v>299</v>
      </c>
      <c r="H73" s="13" t="s">
        <v>29</v>
      </c>
      <c r="I73" s="11" t="str">
        <f t="shared" si="1"/>
        <v>NAGA CHANDU V</v>
      </c>
      <c r="J73" s="8">
        <v>5642578679</v>
      </c>
      <c r="K73" s="9" t="s">
        <v>300</v>
      </c>
      <c r="L73" s="9">
        <v>21</v>
      </c>
      <c r="M73" s="8" t="s">
        <v>18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 spans="1:35" ht="15.5" x14ac:dyDescent="0.35">
      <c r="A74" s="7">
        <v>73</v>
      </c>
      <c r="B74" s="8">
        <v>3</v>
      </c>
      <c r="C74" s="8" t="s">
        <v>301</v>
      </c>
      <c r="D74" s="13" t="s">
        <v>302</v>
      </c>
      <c r="E74" s="13" t="s">
        <v>23</v>
      </c>
      <c r="F74" s="8">
        <v>2602080020</v>
      </c>
      <c r="G74" s="10" t="s">
        <v>303</v>
      </c>
      <c r="H74" s="13" t="s">
        <v>29</v>
      </c>
      <c r="I74" s="11" t="str">
        <f t="shared" si="1"/>
        <v>S SAMEER</v>
      </c>
      <c r="J74" s="8">
        <v>2992121341</v>
      </c>
      <c r="K74" s="9" t="s">
        <v>304</v>
      </c>
      <c r="L74" s="9">
        <v>19</v>
      </c>
      <c r="M74" s="8" t="s">
        <v>18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</row>
    <row r="75" spans="1:35" ht="15.5" x14ac:dyDescent="0.35">
      <c r="A75" s="7">
        <v>74</v>
      </c>
      <c r="B75" s="8">
        <v>3</v>
      </c>
      <c r="C75" s="8" t="s">
        <v>305</v>
      </c>
      <c r="D75" s="13" t="s">
        <v>306</v>
      </c>
      <c r="E75" s="13" t="s">
        <v>14</v>
      </c>
      <c r="F75" s="8">
        <v>8796416295</v>
      </c>
      <c r="G75" s="10" t="s">
        <v>307</v>
      </c>
      <c r="H75" s="13" t="s">
        <v>29</v>
      </c>
      <c r="I75" s="11" t="str">
        <f t="shared" si="1"/>
        <v>SALVADI VENKATESH</v>
      </c>
      <c r="J75" s="8">
        <v>2449128279</v>
      </c>
      <c r="K75" s="9" t="s">
        <v>308</v>
      </c>
      <c r="L75" s="9">
        <v>21</v>
      </c>
      <c r="M75" s="8" t="s">
        <v>18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</row>
    <row r="76" spans="1:35" ht="15.5" x14ac:dyDescent="0.35">
      <c r="A76" s="7">
        <v>75</v>
      </c>
      <c r="B76" s="8">
        <v>3</v>
      </c>
      <c r="C76" s="8" t="s">
        <v>309</v>
      </c>
      <c r="D76" s="13" t="s">
        <v>310</v>
      </c>
      <c r="E76" s="13" t="s">
        <v>14</v>
      </c>
      <c r="F76" s="8">
        <v>5978571640</v>
      </c>
      <c r="G76" s="10" t="s">
        <v>311</v>
      </c>
      <c r="H76" s="13" t="s">
        <v>29</v>
      </c>
      <c r="I76" s="11" t="str">
        <f t="shared" si="1"/>
        <v>UPPUNUTHALA PURUSHOTHAM</v>
      </c>
      <c r="J76" s="8">
        <v>1331878499</v>
      </c>
      <c r="K76" s="9" t="s">
        <v>312</v>
      </c>
      <c r="L76" s="9">
        <v>17</v>
      </c>
      <c r="M76" s="8" t="s">
        <v>18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</row>
    <row r="77" spans="1:35" ht="15.5" x14ac:dyDescent="0.35">
      <c r="A77" s="7">
        <v>76</v>
      </c>
      <c r="B77" s="8">
        <v>3</v>
      </c>
      <c r="C77" s="8" t="s">
        <v>313</v>
      </c>
      <c r="D77" s="13" t="s">
        <v>314</v>
      </c>
      <c r="E77" s="13" t="s">
        <v>23</v>
      </c>
      <c r="F77" s="8">
        <v>5716170881</v>
      </c>
      <c r="G77" s="10" t="s">
        <v>315</v>
      </c>
      <c r="H77" s="13" t="s">
        <v>29</v>
      </c>
      <c r="I77" s="11" t="str">
        <f t="shared" si="1"/>
        <v xml:space="preserve">VINAY KUMAR </v>
      </c>
      <c r="J77" s="8">
        <v>4348887066</v>
      </c>
      <c r="K77" s="9" t="s">
        <v>316</v>
      </c>
      <c r="L77" s="9">
        <v>23</v>
      </c>
      <c r="M77" s="8" t="s">
        <v>18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</row>
    <row r="78" spans="1:35" ht="15.5" x14ac:dyDescent="0.35">
      <c r="A78" s="7">
        <v>77</v>
      </c>
      <c r="B78" s="8">
        <v>1</v>
      </c>
      <c r="C78" s="8" t="s">
        <v>317</v>
      </c>
      <c r="D78" s="13" t="s">
        <v>318</v>
      </c>
      <c r="E78" s="13" t="s">
        <v>23</v>
      </c>
      <c r="F78" s="8">
        <v>6927479136</v>
      </c>
      <c r="G78" s="10" t="s">
        <v>319</v>
      </c>
      <c r="H78" s="13" t="s">
        <v>16</v>
      </c>
      <c r="I78" s="11" t="str">
        <f t="shared" si="1"/>
        <v>YARRA NAVYA SAHITHI</v>
      </c>
      <c r="J78" s="8">
        <v>7539369224</v>
      </c>
      <c r="K78" s="9" t="s">
        <v>320</v>
      </c>
      <c r="L78" s="9">
        <v>21</v>
      </c>
      <c r="M78" s="8" t="s">
        <v>18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 spans="1:35" x14ac:dyDescent="0.35">
      <c r="A79" s="7">
        <v>78</v>
      </c>
      <c r="B79" s="8">
        <v>1</v>
      </c>
      <c r="C79" s="8" t="s">
        <v>321</v>
      </c>
      <c r="D79" s="9" t="s">
        <v>322</v>
      </c>
      <c r="E79" s="9" t="s">
        <v>23</v>
      </c>
      <c r="F79" s="8">
        <v>8625176197</v>
      </c>
      <c r="G79" s="10" t="s">
        <v>323</v>
      </c>
      <c r="H79" s="9" t="s">
        <v>29</v>
      </c>
      <c r="I79" s="11" t="str">
        <f t="shared" si="1"/>
        <v>M. Aravind</v>
      </c>
      <c r="J79" s="8">
        <v>5862892304</v>
      </c>
      <c r="K79" s="12">
        <v>37126</v>
      </c>
      <c r="L79" s="9">
        <v>22</v>
      </c>
      <c r="M79" s="8" t="s">
        <v>18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</row>
    <row r="80" spans="1:35" x14ac:dyDescent="0.35">
      <c r="A80" s="7">
        <v>79</v>
      </c>
      <c r="B80" s="8">
        <v>2</v>
      </c>
      <c r="C80" s="8" t="s">
        <v>324</v>
      </c>
      <c r="D80" s="9" t="s">
        <v>325</v>
      </c>
      <c r="E80" s="9" t="s">
        <v>23</v>
      </c>
      <c r="F80" s="8">
        <v>3221738150</v>
      </c>
      <c r="G80" s="10" t="s">
        <v>326</v>
      </c>
      <c r="H80" s="9" t="s">
        <v>29</v>
      </c>
      <c r="I80" s="11" t="str">
        <f t="shared" si="1"/>
        <v>Surya Kiran</v>
      </c>
      <c r="J80" s="8">
        <v>8285846370</v>
      </c>
      <c r="K80" s="12">
        <v>38010</v>
      </c>
      <c r="L80" s="9">
        <v>19</v>
      </c>
      <c r="M80" s="8" t="s">
        <v>18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</row>
    <row r="81" spans="1:35" x14ac:dyDescent="0.35">
      <c r="A81" s="7">
        <v>80</v>
      </c>
      <c r="B81" s="8">
        <v>2</v>
      </c>
      <c r="C81" s="8" t="s">
        <v>327</v>
      </c>
      <c r="D81" s="9" t="s">
        <v>328</v>
      </c>
      <c r="E81" s="9" t="s">
        <v>23</v>
      </c>
      <c r="F81" s="8">
        <v>2217423855</v>
      </c>
      <c r="G81" s="10" t="s">
        <v>329</v>
      </c>
      <c r="H81" s="9" t="s">
        <v>29</v>
      </c>
      <c r="I81" s="11" t="str">
        <f t="shared" si="1"/>
        <v>B Aravind</v>
      </c>
      <c r="J81" s="8">
        <v>2592482611</v>
      </c>
      <c r="K81" s="14">
        <v>45140</v>
      </c>
      <c r="L81" s="9">
        <v>21</v>
      </c>
      <c r="M81" s="8" t="s">
        <v>18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</row>
    <row r="82" spans="1:35" x14ac:dyDescent="0.35">
      <c r="A82" s="1"/>
      <c r="B82" s="2"/>
      <c r="C82" s="3">
        <v>123</v>
      </c>
      <c r="D82" s="3"/>
      <c r="E82" s="3"/>
      <c r="F82" s="2"/>
      <c r="G82" s="3"/>
      <c r="H82" s="3"/>
      <c r="I82" s="3"/>
      <c r="J82" s="2"/>
      <c r="K82" s="3"/>
      <c r="L82" s="15" t="s">
        <v>330</v>
      </c>
      <c r="M82" s="7">
        <f>COUNTA(M2:M81)</f>
        <v>80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</row>
    <row r="83" spans="1:35" x14ac:dyDescent="0.35">
      <c r="A83" s="1"/>
      <c r="B83" s="2"/>
      <c r="C83" s="3"/>
      <c r="D83" s="3"/>
      <c r="E83" s="3"/>
      <c r="F83" s="2"/>
      <c r="G83" s="3"/>
      <c r="H83" s="3"/>
      <c r="I83" s="3"/>
      <c r="J83" s="2"/>
      <c r="K83" s="3"/>
      <c r="L83" s="15" t="s">
        <v>331</v>
      </c>
      <c r="M83" s="7">
        <f>COUNTIF(M2:M81,"P")</f>
        <v>59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</row>
    <row r="84" spans="1:35" x14ac:dyDescent="0.35">
      <c r="A84" s="1"/>
      <c r="B84" s="2"/>
      <c r="C84" s="3"/>
      <c r="D84" s="3"/>
      <c r="E84" s="3"/>
      <c r="F84" s="2"/>
      <c r="G84" s="3"/>
      <c r="H84" s="3"/>
      <c r="I84" s="3"/>
      <c r="J84" s="2"/>
      <c r="K84" s="3"/>
      <c r="L84" s="15" t="s">
        <v>332</v>
      </c>
      <c r="M84" s="7">
        <f>COUNTIF(M3:M82,"A")</f>
        <v>12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</row>
    <row r="85" spans="1:35" x14ac:dyDescent="0.35">
      <c r="A85" s="1"/>
      <c r="B85" s="2"/>
      <c r="C85" s="3"/>
      <c r="D85" s="3"/>
      <c r="E85" s="3"/>
      <c r="F85" s="2"/>
      <c r="G85" s="3"/>
      <c r="H85" s="3"/>
      <c r="I85" s="3"/>
      <c r="J85" s="2"/>
      <c r="K85" s="3"/>
      <c r="L85" s="15" t="s">
        <v>333</v>
      </c>
      <c r="M85" s="7">
        <f>COUNTIF(M4:M83,"L")</f>
        <v>9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</row>
  </sheetData>
  <conditionalFormatting sqref="M2">
    <cfRule type="cellIs" dxfId="8" priority="8" operator="equal">
      <formula>"A"</formula>
    </cfRule>
    <cfRule type="cellIs" dxfId="7" priority="9" operator="equal">
      <formula>"P"</formula>
    </cfRule>
  </conditionalFormatting>
  <conditionalFormatting sqref="M2">
    <cfRule type="cellIs" dxfId="6" priority="7" operator="equal">
      <formula>"L"</formula>
    </cfRule>
  </conditionalFormatting>
  <conditionalFormatting sqref="N2:AI2">
    <cfRule type="cellIs" dxfId="5" priority="5" operator="equal">
      <formula>"A"</formula>
    </cfRule>
    <cfRule type="cellIs" dxfId="4" priority="6" operator="equal">
      <formula>"P"</formula>
    </cfRule>
  </conditionalFormatting>
  <conditionalFormatting sqref="N2:AI2">
    <cfRule type="cellIs" dxfId="3" priority="4" operator="equal">
      <formula>"L"</formula>
    </cfRule>
  </conditionalFormatting>
  <conditionalFormatting sqref="M3:AI81">
    <cfRule type="cellIs" dxfId="2" priority="2" operator="equal">
      <formula>"A"</formula>
    </cfRule>
    <cfRule type="cellIs" dxfId="1" priority="3" operator="equal">
      <formula>"P"</formula>
    </cfRule>
  </conditionalFormatting>
  <conditionalFormatting sqref="M3:AI81">
    <cfRule type="cellIs" dxfId="0" priority="1" operator="equal">
      <formula>"L"</formula>
    </cfRule>
  </conditionalFormatting>
  <dataValidations disablePrompts="1" count="1">
    <dataValidation type="list" allowBlank="1" showInputMessage="1" showErrorMessage="1" errorTitle="Select Form the DropDown" error="Select Form the DropDown" sqref="M2:AI81" xr:uid="{3B9CC5D6-AEB5-4F22-AC8C-FF10F3850228}">
      <formula1>"P,A,L"</formula1>
    </dataValidation>
  </dataValidations>
  <hyperlinks>
    <hyperlink ref="G4" r:id="rId1" xr:uid="{39CCB3FA-9AB2-4F08-9818-5A5145F71859}"/>
    <hyperlink ref="G2" r:id="rId2" xr:uid="{83C0FDA4-7A81-4CD7-829D-99DD183B456F}"/>
    <hyperlink ref="G3" r:id="rId3" xr:uid="{0D7F2D8B-D792-417E-AF79-72DC6E74760D}"/>
    <hyperlink ref="G5" r:id="rId4" xr:uid="{9BDC10E1-84DF-4306-93CD-3B2A78024324}"/>
    <hyperlink ref="G6" r:id="rId5" xr:uid="{5BA7AF7C-2471-4D7B-815E-20A4F0FDBEB9}"/>
    <hyperlink ref="G7" r:id="rId6" xr:uid="{2D38FDC7-B014-4086-9EF1-22E009A57154}"/>
    <hyperlink ref="G8" r:id="rId7" xr:uid="{A4A62149-064D-4A42-AFCC-73C5C1F5C8FE}"/>
    <hyperlink ref="G9" r:id="rId8" xr:uid="{28DDFBC1-9167-44E4-98B8-FD19E4B4B52E}"/>
    <hyperlink ref="G10" r:id="rId9" xr:uid="{3B980FC5-D385-48D6-8DE4-501FCBE15F6E}"/>
    <hyperlink ref="G11" r:id="rId10" xr:uid="{2B1EF3AF-D1F8-4020-B61B-8CD5C839CF4E}"/>
    <hyperlink ref="G12" r:id="rId11" xr:uid="{42C888F9-F9C9-482B-B708-BE1BBACC2B56}"/>
    <hyperlink ref="G13" r:id="rId12" xr:uid="{B99E975B-6D11-43AF-9411-B566313ACE79}"/>
    <hyperlink ref="G14" r:id="rId13" xr:uid="{F52A256E-0088-4F13-9CFB-6B802A585F47}"/>
    <hyperlink ref="G15" r:id="rId14" xr:uid="{3AB1286F-6BD4-4ED1-94C1-60D63C5FD048}"/>
    <hyperlink ref="G16" r:id="rId15" xr:uid="{8CD6FE68-18AA-40B5-8790-4187306F5331}"/>
    <hyperlink ref="G17" r:id="rId16" xr:uid="{5186E97F-D605-495A-A9C8-1DA985393F99}"/>
    <hyperlink ref="G18" r:id="rId17" xr:uid="{AA7A75AC-5CE2-4AE2-BC82-05D2C2581817}"/>
    <hyperlink ref="G19" r:id="rId18" xr:uid="{0EDA6C08-6B49-4210-BCC3-12B40B1A89E0}"/>
    <hyperlink ref="G20" r:id="rId19" xr:uid="{9E9CB5B5-4737-46CF-8AE8-93EE72AC7A37}"/>
    <hyperlink ref="G21" r:id="rId20" xr:uid="{D9C69296-DF25-49C4-96BC-1816F0927DE4}"/>
    <hyperlink ref="G22" r:id="rId21" xr:uid="{50D7311B-F1C1-458A-B657-1474AA67668C}"/>
    <hyperlink ref="G23" r:id="rId22" xr:uid="{27CAA861-9D1B-4E1B-81EE-5D130B730B06}"/>
    <hyperlink ref="G24" r:id="rId23" xr:uid="{07339505-10F6-4DC1-9893-00C1CCD67FAB}"/>
    <hyperlink ref="G25" r:id="rId24" xr:uid="{FD1D167D-84F2-4198-9097-45406F95B940}"/>
    <hyperlink ref="G26" r:id="rId25" xr:uid="{6723C613-9A81-40A7-9ED4-F60EFEAE9388}"/>
    <hyperlink ref="G27" r:id="rId26" xr:uid="{122F4DF4-B9FC-4667-91CC-54FC53563502}"/>
    <hyperlink ref="G28" r:id="rId27" xr:uid="{844110BB-014B-4A95-82E1-41834CAA4610}"/>
    <hyperlink ref="G29" r:id="rId28" xr:uid="{51FF0319-5711-42D6-9391-F5435E8BB659}"/>
    <hyperlink ref="G30" r:id="rId29" xr:uid="{F571A721-AE88-4DE7-AA62-C15DDC3F3F0F}"/>
    <hyperlink ref="G31" r:id="rId30" xr:uid="{59F37D73-9FEF-43E0-951B-B972607285E9}"/>
    <hyperlink ref="G32" r:id="rId31" xr:uid="{311A867F-05D4-4131-810A-A71BE0C61202}"/>
    <hyperlink ref="G33" r:id="rId32" xr:uid="{3524237D-B845-43A9-8133-D08B4A3C8B8E}"/>
    <hyperlink ref="G34" r:id="rId33" xr:uid="{D6E77A50-00E3-4254-87BC-138E819E7E60}"/>
    <hyperlink ref="G35" r:id="rId34" xr:uid="{D9F4A83B-ACB2-4818-A562-5D7CCAC94BE4}"/>
    <hyperlink ref="G36" r:id="rId35" xr:uid="{799560C7-0BC1-4D8C-A4BC-0086C1E1993A}"/>
    <hyperlink ref="G37" r:id="rId36" xr:uid="{9C030F0D-5CE5-451B-944D-1AF8B481E7FD}"/>
    <hyperlink ref="G38" r:id="rId37" xr:uid="{15EAF358-AEFB-4BA2-A1A9-71F830FA576F}"/>
    <hyperlink ref="G39" r:id="rId38" xr:uid="{065CEBE7-080F-4032-B40C-B89CFD7DBAEB}"/>
    <hyperlink ref="G40" r:id="rId39" xr:uid="{27F597C8-D258-4798-B767-1F299CF7071F}"/>
    <hyperlink ref="G41" r:id="rId40" xr:uid="{CAD14F2E-826E-4079-8870-E4438576557C}"/>
    <hyperlink ref="G42" r:id="rId41" xr:uid="{A80572AA-B56F-4441-845D-15CC0185347D}"/>
    <hyperlink ref="G43" r:id="rId42" xr:uid="{9F5F064C-9777-4C27-8AA0-FD8E845F344B}"/>
    <hyperlink ref="G44" r:id="rId43" xr:uid="{58B4555B-AD70-4715-83C0-A62269861BCB}"/>
    <hyperlink ref="G45" r:id="rId44" xr:uid="{23D267ED-6266-4330-8BA6-5D7A385610C2}"/>
    <hyperlink ref="G46" r:id="rId45" xr:uid="{95BC69D6-123A-488F-ADC7-CEE040DE4AA2}"/>
    <hyperlink ref="G47" r:id="rId46" xr:uid="{AB218FEC-6EA5-4CD5-896B-41FC12FB91B9}"/>
    <hyperlink ref="G48" r:id="rId47" xr:uid="{7C8A6689-16B0-440A-A7B9-3E4B8E8F53AA}"/>
    <hyperlink ref="G49" r:id="rId48" xr:uid="{C835B055-9B37-4384-9737-F3A411BD9F77}"/>
    <hyperlink ref="G50" r:id="rId49" xr:uid="{EEE711DF-713D-4726-882E-9C4E8FC7AC41}"/>
    <hyperlink ref="G51" r:id="rId50" xr:uid="{C78AD1A7-B438-4EB7-91C2-F59E3E5BEE2E}"/>
    <hyperlink ref="G52" r:id="rId51" xr:uid="{56DB0C80-562D-413D-8D82-5822F5031AA6}"/>
    <hyperlink ref="G53" r:id="rId52" xr:uid="{5CBA637C-4173-43FD-84BF-C7DC5A76E68D}"/>
    <hyperlink ref="G54" r:id="rId53" xr:uid="{781CFD78-82F2-4DBA-9A31-E20ED78F2B2C}"/>
    <hyperlink ref="G55" r:id="rId54" xr:uid="{707A13C1-2FBD-4A1D-846A-B93B4C2E336B}"/>
    <hyperlink ref="G56" r:id="rId55" xr:uid="{F586903A-B68C-4FFE-B64B-295AD4BBAF76}"/>
    <hyperlink ref="G57" r:id="rId56" xr:uid="{D6370076-1920-4BC3-A28E-4FE805E33ED2}"/>
    <hyperlink ref="G58" r:id="rId57" xr:uid="{1246805C-78C9-4C00-A2D8-2EF96CD2658E}"/>
    <hyperlink ref="G59" r:id="rId58" xr:uid="{E5B02717-0DCD-472C-924F-58C468C5A83B}"/>
    <hyperlink ref="G60" r:id="rId59" xr:uid="{D19F776F-5A50-44D8-BA06-7A9B8ECE2FE7}"/>
    <hyperlink ref="G61" r:id="rId60" xr:uid="{7FC4E611-3DD9-47FC-9BD9-338D162AAE4D}"/>
    <hyperlink ref="G62" r:id="rId61" xr:uid="{A5A64B76-EB3A-4EB6-91F5-2CD09D942B34}"/>
    <hyperlink ref="G63" r:id="rId62" xr:uid="{BE9619C4-6319-4245-B189-520B1648E9AE}"/>
    <hyperlink ref="G64" r:id="rId63" xr:uid="{603ACDD1-7DD4-4C89-B2AA-BD29BA7AF5A8}"/>
    <hyperlink ref="G65" r:id="rId64" xr:uid="{FD63B3BD-ECDC-4FCC-8A2C-F0C4F6CB0213}"/>
    <hyperlink ref="G66" r:id="rId65" xr:uid="{C9B9C16A-85B7-4D77-B3A5-7094A78B09D5}"/>
    <hyperlink ref="G67" r:id="rId66" xr:uid="{BFEF93E0-79C0-412D-881D-F0E36DA8B4A2}"/>
    <hyperlink ref="G68" r:id="rId67" xr:uid="{07CC2B42-060B-46AC-B757-F549831BBCD0}"/>
    <hyperlink ref="G69" r:id="rId68" xr:uid="{EF314657-6709-499A-985B-5CE0736E2E33}"/>
    <hyperlink ref="G70" r:id="rId69" xr:uid="{43CF3926-4105-46FD-8112-E25AD1F28BE8}"/>
    <hyperlink ref="G71" r:id="rId70" xr:uid="{5B576BF1-30D4-4C3A-B31A-6C8A1332D15B}"/>
    <hyperlink ref="G72" r:id="rId71" xr:uid="{06A7F503-0ACF-41E6-8978-754BBA9B4045}"/>
    <hyperlink ref="G73" r:id="rId72" xr:uid="{BC5A4530-9040-4108-A015-45823E08169F}"/>
    <hyperlink ref="G74" r:id="rId73" xr:uid="{0808D177-A208-45D2-8C36-C7E0821B3E46}"/>
    <hyperlink ref="G75" r:id="rId74" xr:uid="{2F244872-D38D-46D5-9D85-04D3B11D9D76}"/>
    <hyperlink ref="G76" r:id="rId75" xr:uid="{BDC25B0D-AD35-4CC0-8ACA-364D87EFE5FC}"/>
    <hyperlink ref="G77" r:id="rId76" xr:uid="{11C38D27-DF6B-4A49-85C7-3A64FB5FF8DE}"/>
    <hyperlink ref="G78" r:id="rId77" xr:uid="{0809DFF8-633D-46A2-8B6C-2B9C9DB82A8C}"/>
    <hyperlink ref="G79" r:id="rId78" xr:uid="{B6DEEA74-274C-4BDA-A110-C5436332283A}"/>
    <hyperlink ref="G80" r:id="rId79" xr:uid="{0464876A-FF24-4E33-9CD3-D2E42A4F0DCA}"/>
    <hyperlink ref="G81" r:id="rId80" xr:uid="{93112EBC-AA18-46BF-A352-A6F69A1F3C5E}"/>
  </hyperlinks>
  <pageMargins left="0.7" right="0.7" top="0.75" bottom="0.75" header="0.3" footer="0.3"/>
  <pageSetup orientation="portrait" r:id="rId8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EA15-3066-4C07-890E-F9E5378B34E7}">
  <dimension ref="D2:M10"/>
  <sheetViews>
    <sheetView showGridLines="0" workbookViewId="0">
      <selection activeCell="G6" sqref="G6"/>
    </sheetView>
  </sheetViews>
  <sheetFormatPr defaultRowHeight="14.5" x14ac:dyDescent="0.35"/>
  <cols>
    <col min="4" max="4" width="18.90625" bestFit="1" customWidth="1"/>
    <col min="5" max="5" width="23.36328125" customWidth="1"/>
    <col min="6" max="6" width="16.54296875" customWidth="1"/>
    <col min="7" max="7" width="22.7265625" customWidth="1"/>
    <col min="8" max="8" width="31.1796875" bestFit="1" customWidth="1"/>
    <col min="9" max="9" width="13.6328125" customWidth="1"/>
    <col min="10" max="10" width="23.453125" bestFit="1" customWidth="1"/>
    <col min="11" max="11" width="17.36328125" bestFit="1" customWidth="1"/>
    <col min="12" max="12" width="9.7265625" customWidth="1"/>
    <col min="13" max="13" width="4.26953125" bestFit="1" customWidth="1"/>
  </cols>
  <sheetData>
    <row r="2" spans="4:13" x14ac:dyDescent="0.35">
      <c r="J2" s="17"/>
      <c r="K2" s="17"/>
      <c r="L2" s="17"/>
      <c r="M2" s="17"/>
    </row>
    <row r="3" spans="4:13" x14ac:dyDescent="0.35">
      <c r="J3" s="18"/>
      <c r="K3" s="18"/>
      <c r="L3" s="18"/>
      <c r="M3" s="18"/>
    </row>
    <row r="4" spans="4:13" x14ac:dyDescent="0.35">
      <c r="J4" s="18"/>
      <c r="K4" s="18"/>
      <c r="L4" s="18"/>
      <c r="M4" s="18"/>
    </row>
    <row r="5" spans="4:13" s="20" customFormat="1" ht="22.5" customHeight="1" x14ac:dyDescent="0.35"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19"/>
      <c r="K5" s="19"/>
      <c r="L5" s="19"/>
      <c r="M5" s="19"/>
    </row>
    <row r="6" spans="4:13" s="20" customFormat="1" ht="20.5" customHeight="1" x14ac:dyDescent="0.35">
      <c r="D6" s="8" t="s">
        <v>197</v>
      </c>
      <c r="E6" s="8" t="str">
        <f>VLOOKUP($D$6,RawData!$C$2:$H$82,2,FALSE)</f>
        <v>R. VIGNESH</v>
      </c>
      <c r="F6" s="8" t="str">
        <f>VLOOKUP($D$6,RawData!$C$2:$H$82,3,FALSE)</f>
        <v>ITES</v>
      </c>
      <c r="G6" s="8">
        <f>VLOOKUP($D$6,RawData!$C$2:$H$82,4,FALSE)</f>
        <v>4360003876</v>
      </c>
      <c r="H6" s="8" t="str">
        <f>VLOOKUP($D$6,RawData!$C$2:$H$82,5,FALSE)</f>
        <v>rvignesh.itesites@gmail.com</v>
      </c>
      <c r="I6" s="8" t="str">
        <f>VLOOKUP($D$6,RawData!$C$2:$H$82,6,FALSE)</f>
        <v>Male</v>
      </c>
      <c r="J6" s="21"/>
      <c r="K6" s="21"/>
      <c r="L6" s="21"/>
      <c r="M6" s="21"/>
    </row>
    <row r="7" spans="4:13" x14ac:dyDescent="0.35">
      <c r="J7" s="18"/>
      <c r="K7" s="18"/>
      <c r="L7" s="18"/>
      <c r="M7" s="18"/>
    </row>
    <row r="8" spans="4:13" x14ac:dyDescent="0.35">
      <c r="J8" s="18"/>
      <c r="K8" s="18"/>
      <c r="L8" s="18"/>
      <c r="M8" s="18"/>
    </row>
    <row r="9" spans="4:13" x14ac:dyDescent="0.35">
      <c r="J9" s="18"/>
      <c r="K9" s="18"/>
      <c r="L9" s="18"/>
      <c r="M9" s="18"/>
    </row>
    <row r="10" spans="4:13" x14ac:dyDescent="0.35">
      <c r="J10" s="18"/>
      <c r="K10" s="18"/>
      <c r="L10" s="18"/>
      <c r="M10" s="18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8A7F05-196B-4020-BB7F-28A723E14AA1}">
          <x14:formula1>
            <xm:f>RawData!$C$2:$C$82</xm:f>
          </x14:formula1>
          <xm:sqref>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ED6F-ACD0-4468-9224-BEC5D4DBCF04}">
  <dimension ref="A1:C26"/>
  <sheetViews>
    <sheetView zoomScaleNormal="100" workbookViewId="0">
      <selection activeCell="B1" sqref="B1:B1048576"/>
    </sheetView>
  </sheetViews>
  <sheetFormatPr defaultRowHeight="14.5" x14ac:dyDescent="0.35"/>
  <cols>
    <col min="1" max="1" width="12.54296875" bestFit="1" customWidth="1"/>
    <col min="2" max="2" width="22.1796875" bestFit="1" customWidth="1"/>
  </cols>
  <sheetData>
    <row r="1" spans="1:3" ht="15" thickBot="1" x14ac:dyDescent="0.4">
      <c r="A1" s="22" t="s">
        <v>334</v>
      </c>
      <c r="B1" s="24" t="s">
        <v>335</v>
      </c>
      <c r="C1" s="24" t="s">
        <v>386</v>
      </c>
    </row>
    <row r="2" spans="1:3" ht="15" thickBot="1" x14ac:dyDescent="0.4">
      <c r="A2" s="23" t="s">
        <v>336</v>
      </c>
      <c r="B2" s="25" t="s">
        <v>337</v>
      </c>
      <c r="C2" s="8">
        <v>83</v>
      </c>
    </row>
    <row r="3" spans="1:3" ht="15" thickBot="1" x14ac:dyDescent="0.4">
      <c r="A3" s="23" t="s">
        <v>338</v>
      </c>
      <c r="B3" s="25" t="s">
        <v>339</v>
      </c>
      <c r="C3" s="8">
        <v>94</v>
      </c>
    </row>
    <row r="4" spans="1:3" ht="15" thickBot="1" x14ac:dyDescent="0.4">
      <c r="A4" s="23" t="s">
        <v>340</v>
      </c>
      <c r="B4" s="25" t="s">
        <v>341</v>
      </c>
      <c r="C4" s="8">
        <v>66</v>
      </c>
    </row>
    <row r="5" spans="1:3" ht="15" thickBot="1" x14ac:dyDescent="0.4">
      <c r="A5" s="23" t="s">
        <v>342</v>
      </c>
      <c r="B5" s="25" t="s">
        <v>343</v>
      </c>
      <c r="C5" s="8">
        <v>97</v>
      </c>
    </row>
    <row r="6" spans="1:3" ht="15" thickBot="1" x14ac:dyDescent="0.4">
      <c r="A6" s="23" t="s">
        <v>344</v>
      </c>
      <c r="B6" s="25" t="s">
        <v>345</v>
      </c>
      <c r="C6" s="8">
        <v>70</v>
      </c>
    </row>
    <row r="7" spans="1:3" ht="15" thickBot="1" x14ac:dyDescent="0.4">
      <c r="A7" s="23" t="s">
        <v>346</v>
      </c>
      <c r="B7" s="25" t="s">
        <v>347</v>
      </c>
      <c r="C7" s="8">
        <v>56</v>
      </c>
    </row>
    <row r="8" spans="1:3" ht="15" thickBot="1" x14ac:dyDescent="0.4">
      <c r="A8" s="23" t="s">
        <v>348</v>
      </c>
      <c r="B8" s="25" t="s">
        <v>349</v>
      </c>
      <c r="C8" s="8">
        <v>100</v>
      </c>
    </row>
    <row r="9" spans="1:3" ht="15" thickBot="1" x14ac:dyDescent="0.4">
      <c r="A9" s="23" t="s">
        <v>350</v>
      </c>
      <c r="B9" s="25" t="s">
        <v>351</v>
      </c>
      <c r="C9" s="8">
        <v>96</v>
      </c>
    </row>
    <row r="10" spans="1:3" ht="15" thickBot="1" x14ac:dyDescent="0.4">
      <c r="A10" s="23" t="s">
        <v>352</v>
      </c>
      <c r="B10" s="25" t="s">
        <v>353</v>
      </c>
      <c r="C10" s="8">
        <v>61</v>
      </c>
    </row>
    <row r="11" spans="1:3" ht="15" thickBot="1" x14ac:dyDescent="0.4">
      <c r="A11" s="23" t="s">
        <v>354</v>
      </c>
      <c r="B11" s="25" t="s">
        <v>355</v>
      </c>
      <c r="C11" s="8">
        <v>60</v>
      </c>
    </row>
    <row r="12" spans="1:3" ht="15" thickBot="1" x14ac:dyDescent="0.4">
      <c r="A12" s="23" t="s">
        <v>356</v>
      </c>
      <c r="B12" s="25" t="s">
        <v>357</v>
      </c>
      <c r="C12" s="8">
        <v>93</v>
      </c>
    </row>
    <row r="13" spans="1:3" ht="15" thickBot="1" x14ac:dyDescent="0.4">
      <c r="A13" s="23" t="s">
        <v>358</v>
      </c>
      <c r="B13" s="25" t="s">
        <v>359</v>
      </c>
      <c r="C13" s="8">
        <v>86</v>
      </c>
    </row>
    <row r="14" spans="1:3" ht="15" thickBot="1" x14ac:dyDescent="0.4">
      <c r="A14" s="23" t="s">
        <v>360</v>
      </c>
      <c r="B14" s="25" t="s">
        <v>361</v>
      </c>
      <c r="C14" s="8">
        <v>56</v>
      </c>
    </row>
    <row r="15" spans="1:3" ht="15" thickBot="1" x14ac:dyDescent="0.4">
      <c r="A15" s="23" t="s">
        <v>362</v>
      </c>
      <c r="B15" s="25" t="s">
        <v>363</v>
      </c>
      <c r="C15" s="8">
        <v>55</v>
      </c>
    </row>
    <row r="16" spans="1:3" ht="15" thickBot="1" x14ac:dyDescent="0.4">
      <c r="A16" s="23" t="s">
        <v>364</v>
      </c>
      <c r="B16" s="25" t="s">
        <v>365</v>
      </c>
      <c r="C16" s="8">
        <v>68</v>
      </c>
    </row>
    <row r="17" spans="1:3" ht="15" thickBot="1" x14ac:dyDescent="0.4">
      <c r="A17" s="23" t="s">
        <v>366</v>
      </c>
      <c r="B17" s="25" t="s">
        <v>367</v>
      </c>
      <c r="C17" s="8">
        <v>58</v>
      </c>
    </row>
    <row r="18" spans="1:3" ht="15" thickBot="1" x14ac:dyDescent="0.4">
      <c r="A18" s="23" t="s">
        <v>368</v>
      </c>
      <c r="B18" s="25" t="s">
        <v>369</v>
      </c>
      <c r="C18" s="8">
        <v>97</v>
      </c>
    </row>
    <row r="19" spans="1:3" ht="15" thickBot="1" x14ac:dyDescent="0.4">
      <c r="A19" s="23" t="s">
        <v>370</v>
      </c>
      <c r="B19" s="25" t="s">
        <v>371</v>
      </c>
      <c r="C19" s="8">
        <v>90</v>
      </c>
    </row>
    <row r="20" spans="1:3" ht="15" thickBot="1" x14ac:dyDescent="0.4">
      <c r="A20" s="23" t="s">
        <v>372</v>
      </c>
      <c r="B20" s="25" t="s">
        <v>373</v>
      </c>
      <c r="C20" s="8">
        <v>80</v>
      </c>
    </row>
    <row r="21" spans="1:3" ht="15" thickBot="1" x14ac:dyDescent="0.4">
      <c r="A21" s="23" t="s">
        <v>374</v>
      </c>
      <c r="B21" s="25" t="s">
        <v>375</v>
      </c>
      <c r="C21" s="8">
        <v>51</v>
      </c>
    </row>
    <row r="22" spans="1:3" ht="15" thickBot="1" x14ac:dyDescent="0.4">
      <c r="A22" s="23" t="s">
        <v>376</v>
      </c>
      <c r="B22" s="25" t="s">
        <v>377</v>
      </c>
      <c r="C22" s="8">
        <v>89</v>
      </c>
    </row>
    <row r="23" spans="1:3" ht="15" thickBot="1" x14ac:dyDescent="0.4">
      <c r="A23" s="23" t="s">
        <v>378</v>
      </c>
      <c r="B23" s="25" t="s">
        <v>379</v>
      </c>
      <c r="C23" s="8">
        <v>97</v>
      </c>
    </row>
    <row r="24" spans="1:3" ht="15" thickBot="1" x14ac:dyDescent="0.4">
      <c r="A24" s="23" t="s">
        <v>380</v>
      </c>
      <c r="B24" s="25" t="s">
        <v>381</v>
      </c>
      <c r="C24" s="8">
        <v>65</v>
      </c>
    </row>
    <row r="25" spans="1:3" ht="15" thickBot="1" x14ac:dyDescent="0.4">
      <c r="A25" s="23" t="s">
        <v>382</v>
      </c>
      <c r="B25" s="25" t="s">
        <v>383</v>
      </c>
      <c r="C25" s="8">
        <v>58</v>
      </c>
    </row>
    <row r="26" spans="1:3" ht="15" thickBot="1" x14ac:dyDescent="0.4">
      <c r="A26" s="23" t="s">
        <v>384</v>
      </c>
      <c r="B26" s="25" t="s">
        <v>385</v>
      </c>
      <c r="C26" s="8">
        <v>74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80AB-D13C-4CD2-94A2-1A0643CB7050}">
  <dimension ref="E5:G7"/>
  <sheetViews>
    <sheetView showGridLines="0" workbookViewId="0">
      <selection activeCell="F7" sqref="F7"/>
    </sheetView>
  </sheetViews>
  <sheetFormatPr defaultRowHeight="14.5" x14ac:dyDescent="0.35"/>
  <cols>
    <col min="5" max="5" width="21.36328125" customWidth="1"/>
    <col min="6" max="6" width="27.453125" customWidth="1"/>
    <col min="7" max="7" width="15.54296875" customWidth="1"/>
  </cols>
  <sheetData>
    <row r="5" spans="5:7" ht="27" customHeight="1" x14ac:dyDescent="0.35">
      <c r="E5" s="29" t="s">
        <v>334</v>
      </c>
      <c r="F5" s="27" t="s">
        <v>335</v>
      </c>
      <c r="G5" s="27" t="s">
        <v>386</v>
      </c>
    </row>
    <row r="6" spans="5:7" ht="25.5" customHeight="1" x14ac:dyDescent="0.35">
      <c r="E6" s="30" t="s">
        <v>360</v>
      </c>
      <c r="F6" s="28" t="str">
        <f>UPPER(VLOOKUP(E6,VData!$A$2:$C$26,2,FALSE))</f>
        <v>KANCHARL A ASHWINI</v>
      </c>
      <c r="G6" s="8">
        <f>VLOOKUP(E6,VData!$A$2:$C$26,3,FALSE)</f>
        <v>56</v>
      </c>
    </row>
    <row r="7" spans="5:7" x14ac:dyDescent="0.35">
      <c r="F7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C545-9B15-4697-A1A4-9F000C5DD507}">
  <dimension ref="A1"/>
  <sheetViews>
    <sheetView topLeftCell="A19"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9287-5748-4475-AD32-79E6241BFE4B}">
  <dimension ref="B2:CD7"/>
  <sheetViews>
    <sheetView workbookViewId="0">
      <selection activeCell="C13" sqref="C13:C15"/>
    </sheetView>
  </sheetViews>
  <sheetFormatPr defaultRowHeight="14.5" x14ac:dyDescent="0.35"/>
  <cols>
    <col min="2" max="2" width="19.81640625" bestFit="1" customWidth="1"/>
    <col min="3" max="3" width="23.453125" bestFit="1" customWidth="1"/>
    <col min="4" max="4" width="28.54296875" bestFit="1" customWidth="1"/>
    <col min="5" max="5" width="29.90625" bestFit="1" customWidth="1"/>
    <col min="6" max="6" width="27.7265625" bestFit="1" customWidth="1"/>
    <col min="7" max="7" width="37.7265625" bestFit="1" customWidth="1"/>
    <col min="8" max="8" width="28.81640625" bestFit="1" customWidth="1"/>
    <col min="9" max="9" width="28.90625" bestFit="1" customWidth="1"/>
    <col min="10" max="10" width="31.1796875" bestFit="1" customWidth="1"/>
    <col min="11" max="11" width="38.453125" bestFit="1" customWidth="1"/>
    <col min="12" max="12" width="28.6328125" bestFit="1" customWidth="1"/>
    <col min="13" max="13" width="38.6328125" bestFit="1" customWidth="1"/>
    <col min="14" max="14" width="36.36328125" bestFit="1" customWidth="1"/>
    <col min="15" max="15" width="29.54296875" bestFit="1" customWidth="1"/>
    <col min="16" max="16" width="30" bestFit="1" customWidth="1"/>
    <col min="17" max="17" width="31.7265625" bestFit="1" customWidth="1"/>
    <col min="18" max="18" width="36.36328125" bestFit="1" customWidth="1"/>
    <col min="19" max="19" width="31.7265625" bestFit="1" customWidth="1"/>
    <col min="20" max="20" width="33.36328125" bestFit="1" customWidth="1"/>
    <col min="21" max="21" width="31.453125" bestFit="1" customWidth="1"/>
    <col min="22" max="22" width="25.7265625" bestFit="1" customWidth="1"/>
    <col min="23" max="23" width="31.54296875" bestFit="1" customWidth="1"/>
    <col min="24" max="24" width="29.54296875" bestFit="1" customWidth="1"/>
    <col min="25" max="25" width="30.6328125" bestFit="1" customWidth="1"/>
    <col min="26" max="26" width="27.08984375" bestFit="1" customWidth="1"/>
    <col min="27" max="27" width="40.36328125" bestFit="1" customWidth="1"/>
    <col min="28" max="28" width="26.81640625" bestFit="1" customWidth="1"/>
    <col min="29" max="29" width="31.1796875" bestFit="1" customWidth="1"/>
    <col min="30" max="30" width="30.81640625" bestFit="1" customWidth="1"/>
    <col min="31" max="31" width="29.7265625" bestFit="1" customWidth="1"/>
    <col min="32" max="32" width="33.6328125" bestFit="1" customWidth="1"/>
    <col min="33" max="33" width="27.08984375" bestFit="1" customWidth="1"/>
    <col min="34" max="34" width="23.90625" bestFit="1" customWidth="1"/>
    <col min="35" max="35" width="31" bestFit="1" customWidth="1"/>
    <col min="36" max="36" width="36.453125" bestFit="1" customWidth="1"/>
    <col min="37" max="37" width="35.36328125" bestFit="1" customWidth="1"/>
    <col min="38" max="38" width="28.81640625" bestFit="1" customWidth="1"/>
    <col min="39" max="39" width="36.08984375" bestFit="1" customWidth="1"/>
    <col min="40" max="40" width="33.453125" bestFit="1" customWidth="1"/>
    <col min="41" max="41" width="33.1796875" bestFit="1" customWidth="1"/>
    <col min="42" max="42" width="31.36328125" bestFit="1" customWidth="1"/>
    <col min="43" max="43" width="29.26953125" bestFit="1" customWidth="1"/>
    <col min="44" max="44" width="30" bestFit="1" customWidth="1"/>
    <col min="45" max="45" width="30.54296875" bestFit="1" customWidth="1"/>
    <col min="46" max="46" width="42.453125" bestFit="1" customWidth="1"/>
    <col min="47" max="47" width="31.90625" bestFit="1" customWidth="1"/>
    <col min="48" max="48" width="24.81640625" bestFit="1" customWidth="1"/>
    <col min="49" max="49" width="40.453125" bestFit="1" customWidth="1"/>
    <col min="50" max="50" width="33.6328125" bestFit="1" customWidth="1"/>
    <col min="51" max="51" width="26.7265625" bestFit="1" customWidth="1"/>
    <col min="52" max="52" width="28.453125" bestFit="1" customWidth="1"/>
    <col min="53" max="53" width="27" bestFit="1" customWidth="1"/>
    <col min="54" max="54" width="35.36328125" bestFit="1" customWidth="1"/>
    <col min="55" max="55" width="38" bestFit="1" customWidth="1"/>
    <col min="56" max="56" width="29.90625" bestFit="1" customWidth="1"/>
    <col min="57" max="57" width="34.54296875" bestFit="1" customWidth="1"/>
    <col min="58" max="58" width="32.7265625" bestFit="1" customWidth="1"/>
    <col min="59" max="59" width="28.7265625" bestFit="1" customWidth="1"/>
    <col min="60" max="60" width="29.36328125" bestFit="1" customWidth="1"/>
    <col min="61" max="61" width="30.453125" bestFit="1" customWidth="1"/>
    <col min="62" max="62" width="30.81640625" bestFit="1" customWidth="1"/>
    <col min="63" max="63" width="34.26953125" bestFit="1" customWidth="1"/>
    <col min="64" max="64" width="33.81640625" bestFit="1" customWidth="1"/>
    <col min="65" max="65" width="24.6328125" bestFit="1" customWidth="1"/>
    <col min="66" max="66" width="35.453125" bestFit="1" customWidth="1"/>
    <col min="67" max="67" width="26" bestFit="1" customWidth="1"/>
    <col min="68" max="68" width="31.6328125" bestFit="1" customWidth="1"/>
    <col min="69" max="69" width="29.54296875" bestFit="1" customWidth="1"/>
    <col min="70" max="70" width="25.36328125" bestFit="1" customWidth="1"/>
    <col min="71" max="71" width="26.81640625" bestFit="1" customWidth="1"/>
    <col min="72" max="72" width="31.7265625" bestFit="1" customWidth="1"/>
    <col min="73" max="73" width="28.36328125" bestFit="1" customWidth="1"/>
    <col min="74" max="74" width="29" bestFit="1" customWidth="1"/>
    <col min="75" max="75" width="25.90625" bestFit="1" customWidth="1"/>
    <col min="76" max="76" width="32.1796875" bestFit="1" customWidth="1"/>
    <col min="77" max="77" width="40.26953125" bestFit="1" customWidth="1"/>
    <col min="78" max="78" width="28.6328125" bestFit="1" customWidth="1"/>
    <col min="79" max="79" width="33.90625" bestFit="1" customWidth="1"/>
    <col min="80" max="80" width="26.81640625" bestFit="1" customWidth="1"/>
    <col min="81" max="81" width="27.6328125" bestFit="1" customWidth="1"/>
    <col min="82" max="82" width="26.26953125" bestFit="1" customWidth="1"/>
  </cols>
  <sheetData>
    <row r="2" spans="2:82" ht="15.5" x14ac:dyDescent="0.35">
      <c r="B2" s="31" t="s">
        <v>2</v>
      </c>
      <c r="C2" s="7" t="s">
        <v>12</v>
      </c>
      <c r="D2" s="7" t="s">
        <v>21</v>
      </c>
      <c r="E2" s="7" t="s">
        <v>26</v>
      </c>
      <c r="F2" s="7" t="s">
        <v>31</v>
      </c>
      <c r="G2" s="7" t="s">
        <v>35</v>
      </c>
      <c r="H2" s="7" t="s">
        <v>39</v>
      </c>
      <c r="I2" s="7" t="s">
        <v>43</v>
      </c>
      <c r="J2" s="7" t="s">
        <v>47</v>
      </c>
      <c r="K2" s="7" t="s">
        <v>51</v>
      </c>
      <c r="L2" s="7" t="s">
        <v>55</v>
      </c>
      <c r="M2" s="7" t="s">
        <v>59</v>
      </c>
      <c r="N2" s="7" t="s">
        <v>63</v>
      </c>
      <c r="O2" s="7" t="s">
        <v>67</v>
      </c>
      <c r="P2" s="7" t="s">
        <v>71</v>
      </c>
      <c r="Q2" s="7" t="s">
        <v>75</v>
      </c>
      <c r="R2" s="7" t="s">
        <v>79</v>
      </c>
      <c r="S2" s="7" t="s">
        <v>83</v>
      </c>
      <c r="T2" s="7" t="s">
        <v>87</v>
      </c>
      <c r="U2" s="7" t="s">
        <v>91</v>
      </c>
      <c r="V2" s="7" t="s">
        <v>95</v>
      </c>
      <c r="W2" s="7" t="s">
        <v>99</v>
      </c>
      <c r="X2" s="7" t="s">
        <v>103</v>
      </c>
      <c r="Y2" s="7" t="s">
        <v>107</v>
      </c>
      <c r="Z2" s="7" t="s">
        <v>111</v>
      </c>
      <c r="AA2" s="7" t="s">
        <v>115</v>
      </c>
      <c r="AB2" s="7" t="s">
        <v>119</v>
      </c>
      <c r="AC2" s="7" t="s">
        <v>123</v>
      </c>
      <c r="AD2" s="7" t="s">
        <v>127</v>
      </c>
      <c r="AE2" s="7" t="s">
        <v>131</v>
      </c>
      <c r="AF2" s="7" t="s">
        <v>135</v>
      </c>
      <c r="AG2" s="7" t="s">
        <v>139</v>
      </c>
      <c r="AH2" s="7" t="s">
        <v>143</v>
      </c>
      <c r="AI2" s="7" t="s">
        <v>147</v>
      </c>
      <c r="AJ2" s="7" t="s">
        <v>150</v>
      </c>
      <c r="AK2" s="7" t="s">
        <v>154</v>
      </c>
      <c r="AL2" s="7" t="s">
        <v>158</v>
      </c>
      <c r="AM2" s="7" t="s">
        <v>162</v>
      </c>
      <c r="AN2" s="7" t="s">
        <v>166</v>
      </c>
      <c r="AO2" s="7" t="s">
        <v>170</v>
      </c>
      <c r="AP2" s="7" t="s">
        <v>174</v>
      </c>
      <c r="AQ2" s="7" t="s">
        <v>178</v>
      </c>
      <c r="AR2" s="7" t="s">
        <v>182</v>
      </c>
      <c r="AS2" s="7" t="s">
        <v>185</v>
      </c>
      <c r="AT2" s="7" t="s">
        <v>189</v>
      </c>
      <c r="AU2" s="7" t="s">
        <v>193</v>
      </c>
      <c r="AV2" s="7" t="s">
        <v>197</v>
      </c>
      <c r="AW2" s="7" t="s">
        <v>201</v>
      </c>
      <c r="AX2" s="7" t="s">
        <v>205</v>
      </c>
      <c r="AY2" s="7" t="s">
        <v>209</v>
      </c>
      <c r="AZ2" s="7" t="s">
        <v>213</v>
      </c>
      <c r="BA2" s="7" t="s">
        <v>217</v>
      </c>
      <c r="BB2" s="7" t="s">
        <v>221</v>
      </c>
      <c r="BC2" s="7" t="s">
        <v>225</v>
      </c>
      <c r="BD2" s="7" t="s">
        <v>229</v>
      </c>
      <c r="BE2" s="7" t="s">
        <v>233</v>
      </c>
      <c r="BF2" s="7" t="s">
        <v>237</v>
      </c>
      <c r="BG2" s="7" t="s">
        <v>241</v>
      </c>
      <c r="BH2" s="7" t="s">
        <v>245</v>
      </c>
      <c r="BI2" s="7" t="s">
        <v>249</v>
      </c>
      <c r="BJ2" s="7" t="s">
        <v>252</v>
      </c>
      <c r="BK2" s="7" t="s">
        <v>256</v>
      </c>
      <c r="BL2" s="7" t="s">
        <v>260</v>
      </c>
      <c r="BM2" s="7" t="s">
        <v>263</v>
      </c>
      <c r="BN2" s="7" t="s">
        <v>267</v>
      </c>
      <c r="BO2" s="7" t="s">
        <v>271</v>
      </c>
      <c r="BP2" s="7" t="s">
        <v>275</v>
      </c>
      <c r="BQ2" s="7" t="s">
        <v>279</v>
      </c>
      <c r="BR2" s="7" t="s">
        <v>283</v>
      </c>
      <c r="BS2" s="7" t="s">
        <v>287</v>
      </c>
      <c r="BT2" s="7" t="s">
        <v>290</v>
      </c>
      <c r="BU2" s="7" t="s">
        <v>293</v>
      </c>
      <c r="BV2" s="7" t="s">
        <v>297</v>
      </c>
      <c r="BW2" s="7" t="s">
        <v>301</v>
      </c>
      <c r="BX2" s="7" t="s">
        <v>305</v>
      </c>
      <c r="BY2" s="7" t="s">
        <v>309</v>
      </c>
      <c r="BZ2" s="7" t="s">
        <v>313</v>
      </c>
      <c r="CA2" s="7" t="s">
        <v>317</v>
      </c>
      <c r="CB2" s="7" t="s">
        <v>321</v>
      </c>
      <c r="CC2" s="7" t="s">
        <v>324</v>
      </c>
      <c r="CD2" s="7" t="s">
        <v>327</v>
      </c>
    </row>
    <row r="3" spans="2:82" ht="15.5" x14ac:dyDescent="0.35">
      <c r="B3" s="31" t="s">
        <v>3</v>
      </c>
      <c r="C3" s="32" t="s">
        <v>13</v>
      </c>
      <c r="D3" s="32" t="s">
        <v>22</v>
      </c>
      <c r="E3" s="32" t="s">
        <v>27</v>
      </c>
      <c r="F3" s="32" t="s">
        <v>32</v>
      </c>
      <c r="G3" s="32" t="s">
        <v>36</v>
      </c>
      <c r="H3" s="32" t="s">
        <v>40</v>
      </c>
      <c r="I3" s="32" t="s">
        <v>44</v>
      </c>
      <c r="J3" s="32" t="s">
        <v>48</v>
      </c>
      <c r="K3" s="32" t="s">
        <v>52</v>
      </c>
      <c r="L3" s="32" t="s">
        <v>56</v>
      </c>
      <c r="M3" s="32" t="s">
        <v>60</v>
      </c>
      <c r="N3" s="32" t="s">
        <v>64</v>
      </c>
      <c r="O3" s="32" t="s">
        <v>68</v>
      </c>
      <c r="P3" s="32" t="s">
        <v>72</v>
      </c>
      <c r="Q3" s="32" t="s">
        <v>76</v>
      </c>
      <c r="R3" s="32" t="s">
        <v>80</v>
      </c>
      <c r="S3" s="32" t="s">
        <v>84</v>
      </c>
      <c r="T3" s="32" t="s">
        <v>88</v>
      </c>
      <c r="U3" s="32" t="s">
        <v>92</v>
      </c>
      <c r="V3" s="32" t="s">
        <v>96</v>
      </c>
      <c r="W3" s="32" t="s">
        <v>100</v>
      </c>
      <c r="X3" s="32" t="s">
        <v>104</v>
      </c>
      <c r="Y3" s="32" t="s">
        <v>108</v>
      </c>
      <c r="Z3" s="32" t="s">
        <v>112</v>
      </c>
      <c r="AA3" s="32" t="s">
        <v>116</v>
      </c>
      <c r="AB3" s="32" t="s">
        <v>120</v>
      </c>
      <c r="AC3" s="32" t="s">
        <v>124</v>
      </c>
      <c r="AD3" s="32" t="s">
        <v>128</v>
      </c>
      <c r="AE3" s="32" t="s">
        <v>132</v>
      </c>
      <c r="AF3" s="32" t="s">
        <v>136</v>
      </c>
      <c r="AG3" s="32" t="s">
        <v>140</v>
      </c>
      <c r="AH3" s="32" t="s">
        <v>144</v>
      </c>
      <c r="AI3" s="32" t="s">
        <v>148</v>
      </c>
      <c r="AJ3" s="32" t="s">
        <v>151</v>
      </c>
      <c r="AK3" s="32" t="s">
        <v>155</v>
      </c>
      <c r="AL3" s="32" t="s">
        <v>159</v>
      </c>
      <c r="AM3" s="32" t="s">
        <v>163</v>
      </c>
      <c r="AN3" s="32" t="s">
        <v>167</v>
      </c>
      <c r="AO3" s="32" t="s">
        <v>171</v>
      </c>
      <c r="AP3" s="32" t="s">
        <v>175</v>
      </c>
      <c r="AQ3" s="32" t="s">
        <v>179</v>
      </c>
      <c r="AR3" s="32" t="s">
        <v>183</v>
      </c>
      <c r="AS3" s="32" t="s">
        <v>186</v>
      </c>
      <c r="AT3" s="32" t="s">
        <v>190</v>
      </c>
      <c r="AU3" s="32" t="s">
        <v>194</v>
      </c>
      <c r="AV3" s="32" t="s">
        <v>198</v>
      </c>
      <c r="AW3" s="32" t="s">
        <v>202</v>
      </c>
      <c r="AX3" s="32" t="s">
        <v>206</v>
      </c>
      <c r="AY3" s="32" t="s">
        <v>210</v>
      </c>
      <c r="AZ3" s="32" t="s">
        <v>214</v>
      </c>
      <c r="BA3" s="32" t="s">
        <v>218</v>
      </c>
      <c r="BB3" s="32" t="s">
        <v>222</v>
      </c>
      <c r="BC3" s="32" t="s">
        <v>226</v>
      </c>
      <c r="BD3" s="32" t="s">
        <v>230</v>
      </c>
      <c r="BE3" s="32" t="s">
        <v>234</v>
      </c>
      <c r="BF3" s="32" t="s">
        <v>238</v>
      </c>
      <c r="BG3" s="32" t="s">
        <v>242</v>
      </c>
      <c r="BH3" s="32" t="s">
        <v>246</v>
      </c>
      <c r="BI3" s="32" t="s">
        <v>250</v>
      </c>
      <c r="BJ3" s="32" t="s">
        <v>253</v>
      </c>
      <c r="BK3" s="32" t="s">
        <v>257</v>
      </c>
      <c r="BL3" s="32" t="s">
        <v>261</v>
      </c>
      <c r="BM3" s="32" t="s">
        <v>264</v>
      </c>
      <c r="BN3" s="32" t="s">
        <v>268</v>
      </c>
      <c r="BO3" s="33" t="s">
        <v>272</v>
      </c>
      <c r="BP3" s="33" t="s">
        <v>276</v>
      </c>
      <c r="BQ3" s="33" t="s">
        <v>280</v>
      </c>
      <c r="BR3" s="33" t="s">
        <v>284</v>
      </c>
      <c r="BS3" s="33" t="s">
        <v>288</v>
      </c>
      <c r="BT3" s="33" t="s">
        <v>291</v>
      </c>
      <c r="BU3" s="33" t="s">
        <v>294</v>
      </c>
      <c r="BV3" s="33" t="s">
        <v>298</v>
      </c>
      <c r="BW3" s="33" t="s">
        <v>302</v>
      </c>
      <c r="BX3" s="33" t="s">
        <v>306</v>
      </c>
      <c r="BY3" s="33" t="s">
        <v>310</v>
      </c>
      <c r="BZ3" s="33" t="s">
        <v>314</v>
      </c>
      <c r="CA3" s="33" t="s">
        <v>318</v>
      </c>
      <c r="CB3" s="32" t="s">
        <v>322</v>
      </c>
      <c r="CC3" s="32" t="s">
        <v>325</v>
      </c>
      <c r="CD3" s="32" t="s">
        <v>328</v>
      </c>
    </row>
    <row r="4" spans="2:82" ht="15.5" x14ac:dyDescent="0.35">
      <c r="B4" s="31" t="s">
        <v>4</v>
      </c>
      <c r="C4" s="32" t="s">
        <v>14</v>
      </c>
      <c r="D4" s="32" t="s">
        <v>23</v>
      </c>
      <c r="E4" s="32" t="s">
        <v>23</v>
      </c>
      <c r="F4" s="32" t="s">
        <v>23</v>
      </c>
      <c r="G4" s="32" t="s">
        <v>23</v>
      </c>
      <c r="H4" s="32" t="s">
        <v>14</v>
      </c>
      <c r="I4" s="32" t="s">
        <v>23</v>
      </c>
      <c r="J4" s="32" t="s">
        <v>23</v>
      </c>
      <c r="K4" s="32" t="s">
        <v>14</v>
      </c>
      <c r="L4" s="32" t="s">
        <v>23</v>
      </c>
      <c r="M4" s="32" t="s">
        <v>23</v>
      </c>
      <c r="N4" s="32" t="s">
        <v>23</v>
      </c>
      <c r="O4" s="32" t="s">
        <v>23</v>
      </c>
      <c r="P4" s="32" t="s">
        <v>14</v>
      </c>
      <c r="Q4" s="32" t="s">
        <v>23</v>
      </c>
      <c r="R4" s="32" t="s">
        <v>23</v>
      </c>
      <c r="S4" s="32" t="s">
        <v>14</v>
      </c>
      <c r="T4" s="32" t="s">
        <v>23</v>
      </c>
      <c r="U4" s="32" t="s">
        <v>23</v>
      </c>
      <c r="V4" s="32" t="s">
        <v>14</v>
      </c>
      <c r="W4" s="32" t="s">
        <v>14</v>
      </c>
      <c r="X4" s="32" t="s">
        <v>23</v>
      </c>
      <c r="Y4" s="32" t="s">
        <v>23</v>
      </c>
      <c r="Z4" s="32" t="s">
        <v>23</v>
      </c>
      <c r="AA4" s="32" t="s">
        <v>23</v>
      </c>
      <c r="AB4" s="32" t="s">
        <v>23</v>
      </c>
      <c r="AC4" s="32" t="s">
        <v>14</v>
      </c>
      <c r="AD4" s="32" t="s">
        <v>23</v>
      </c>
      <c r="AE4" s="32" t="s">
        <v>23</v>
      </c>
      <c r="AF4" s="32" t="s">
        <v>23</v>
      </c>
      <c r="AG4" s="32" t="s">
        <v>23</v>
      </c>
      <c r="AH4" s="32" t="s">
        <v>14</v>
      </c>
      <c r="AI4" s="32" t="s">
        <v>14</v>
      </c>
      <c r="AJ4" s="32" t="s">
        <v>23</v>
      </c>
      <c r="AK4" s="32" t="s">
        <v>23</v>
      </c>
      <c r="AL4" s="32" t="s">
        <v>14</v>
      </c>
      <c r="AM4" s="32" t="s">
        <v>23</v>
      </c>
      <c r="AN4" s="32" t="s">
        <v>23</v>
      </c>
      <c r="AO4" s="32" t="s">
        <v>14</v>
      </c>
      <c r="AP4" s="32" t="s">
        <v>14</v>
      </c>
      <c r="AQ4" s="32" t="s">
        <v>14</v>
      </c>
      <c r="AR4" s="32" t="s">
        <v>14</v>
      </c>
      <c r="AS4" s="32" t="s">
        <v>23</v>
      </c>
      <c r="AT4" s="32" t="s">
        <v>23</v>
      </c>
      <c r="AU4" s="32" t="s">
        <v>23</v>
      </c>
      <c r="AV4" s="32" t="s">
        <v>14</v>
      </c>
      <c r="AW4" s="32" t="s">
        <v>23</v>
      </c>
      <c r="AX4" s="32" t="s">
        <v>23</v>
      </c>
      <c r="AY4" s="32" t="s">
        <v>14</v>
      </c>
      <c r="AZ4" s="32" t="s">
        <v>23</v>
      </c>
      <c r="BA4" s="32" t="s">
        <v>14</v>
      </c>
      <c r="BB4" s="32" t="s">
        <v>23</v>
      </c>
      <c r="BC4" s="32" t="s">
        <v>23</v>
      </c>
      <c r="BD4" s="32" t="s">
        <v>23</v>
      </c>
      <c r="BE4" s="32" t="s">
        <v>23</v>
      </c>
      <c r="BF4" s="32" t="s">
        <v>23</v>
      </c>
      <c r="BG4" s="32" t="s">
        <v>14</v>
      </c>
      <c r="BH4" s="32" t="s">
        <v>23</v>
      </c>
      <c r="BI4" s="32" t="s">
        <v>23</v>
      </c>
      <c r="BJ4" s="32" t="s">
        <v>14</v>
      </c>
      <c r="BK4" s="32" t="s">
        <v>23</v>
      </c>
      <c r="BL4" s="32" t="s">
        <v>23</v>
      </c>
      <c r="BM4" s="32" t="s">
        <v>14</v>
      </c>
      <c r="BN4" s="32" t="s">
        <v>23</v>
      </c>
      <c r="BO4" s="33" t="s">
        <v>14</v>
      </c>
      <c r="BP4" s="33" t="s">
        <v>23</v>
      </c>
      <c r="BQ4" s="33" t="s">
        <v>23</v>
      </c>
      <c r="BR4" s="33" t="s">
        <v>23</v>
      </c>
      <c r="BS4" s="33" t="s">
        <v>14</v>
      </c>
      <c r="BT4" s="33" t="s">
        <v>23</v>
      </c>
      <c r="BU4" s="33" t="s">
        <v>23</v>
      </c>
      <c r="BV4" s="33" t="s">
        <v>14</v>
      </c>
      <c r="BW4" s="33" t="s">
        <v>23</v>
      </c>
      <c r="BX4" s="33" t="s">
        <v>14</v>
      </c>
      <c r="BY4" s="33" t="s">
        <v>14</v>
      </c>
      <c r="BZ4" s="33" t="s">
        <v>23</v>
      </c>
      <c r="CA4" s="33" t="s">
        <v>23</v>
      </c>
      <c r="CB4" s="32" t="s">
        <v>23</v>
      </c>
      <c r="CC4" s="32" t="s">
        <v>23</v>
      </c>
      <c r="CD4" s="32" t="s">
        <v>23</v>
      </c>
    </row>
    <row r="5" spans="2:82" ht="15.5" x14ac:dyDescent="0.35">
      <c r="B5" s="31" t="s">
        <v>5</v>
      </c>
      <c r="C5" s="7">
        <v>6399221384</v>
      </c>
      <c r="D5" s="7">
        <v>8732960724</v>
      </c>
      <c r="E5" s="7">
        <v>3928683138</v>
      </c>
      <c r="F5" s="7">
        <v>6302977515</v>
      </c>
      <c r="G5" s="7">
        <v>3285643454</v>
      </c>
      <c r="H5" s="7">
        <v>6204804746</v>
      </c>
      <c r="I5" s="7">
        <v>8402592334</v>
      </c>
      <c r="J5" s="7">
        <v>1770577932</v>
      </c>
      <c r="K5" s="7">
        <v>1087593685</v>
      </c>
      <c r="L5" s="7">
        <v>1693682470</v>
      </c>
      <c r="M5" s="7">
        <v>1821308586</v>
      </c>
      <c r="N5" s="7">
        <v>1683546545</v>
      </c>
      <c r="O5" s="7">
        <v>5506439807</v>
      </c>
      <c r="P5" s="7">
        <v>3565997600</v>
      </c>
      <c r="Q5" s="7">
        <v>2685014153</v>
      </c>
      <c r="R5" s="7">
        <v>8144007188</v>
      </c>
      <c r="S5" s="7">
        <v>5451418853</v>
      </c>
      <c r="T5" s="7">
        <v>2352093828</v>
      </c>
      <c r="U5" s="7">
        <v>4851546652</v>
      </c>
      <c r="V5" s="7">
        <v>6604423032</v>
      </c>
      <c r="W5" s="7">
        <v>4267924443</v>
      </c>
      <c r="X5" s="7">
        <v>2776428499</v>
      </c>
      <c r="Y5" s="7">
        <v>2344591250</v>
      </c>
      <c r="Z5" s="7">
        <v>4564000793</v>
      </c>
      <c r="AA5" s="7">
        <v>7831800139</v>
      </c>
      <c r="AB5" s="7">
        <v>1359937879</v>
      </c>
      <c r="AC5" s="7">
        <v>8357059907</v>
      </c>
      <c r="AD5" s="7">
        <v>8195300576</v>
      </c>
      <c r="AE5" s="7">
        <v>3908490120</v>
      </c>
      <c r="AF5" s="7">
        <v>6654686097</v>
      </c>
      <c r="AG5" s="7">
        <v>3176554504</v>
      </c>
      <c r="AH5" s="7">
        <v>7375541777</v>
      </c>
      <c r="AI5" s="7">
        <v>2307603936</v>
      </c>
      <c r="AJ5" s="7">
        <v>7539961295</v>
      </c>
      <c r="AK5" s="7">
        <v>8714929594</v>
      </c>
      <c r="AL5" s="7">
        <v>6748495954</v>
      </c>
      <c r="AM5" s="7">
        <v>5598318903</v>
      </c>
      <c r="AN5" s="7">
        <v>5366755536</v>
      </c>
      <c r="AO5" s="7">
        <v>5685425899</v>
      </c>
      <c r="AP5" s="7">
        <v>8546891943</v>
      </c>
      <c r="AQ5" s="7">
        <v>7905481507</v>
      </c>
      <c r="AR5" s="7">
        <v>5681445328</v>
      </c>
      <c r="AS5" s="7">
        <v>1576469041</v>
      </c>
      <c r="AT5" s="7">
        <v>7244391357</v>
      </c>
      <c r="AU5" s="7">
        <v>5713887644</v>
      </c>
      <c r="AV5" s="7">
        <v>4360003876</v>
      </c>
      <c r="AW5" s="7">
        <v>6232183694</v>
      </c>
      <c r="AX5" s="7">
        <v>6682877186</v>
      </c>
      <c r="AY5" s="7">
        <v>8911831176</v>
      </c>
      <c r="AZ5" s="7">
        <v>5328455783</v>
      </c>
      <c r="BA5" s="7">
        <v>4825148027</v>
      </c>
      <c r="BB5" s="7">
        <v>3228331930</v>
      </c>
      <c r="BC5" s="7">
        <v>7158666834</v>
      </c>
      <c r="BD5" s="7">
        <v>7998839021</v>
      </c>
      <c r="BE5" s="7">
        <v>8550635195</v>
      </c>
      <c r="BF5" s="7">
        <v>8733465367</v>
      </c>
      <c r="BG5" s="7">
        <v>6153044829</v>
      </c>
      <c r="BH5" s="7">
        <v>4496254693</v>
      </c>
      <c r="BI5" s="7">
        <v>2881088394</v>
      </c>
      <c r="BJ5" s="7">
        <v>3401449282</v>
      </c>
      <c r="BK5" s="7">
        <v>4405995363</v>
      </c>
      <c r="BL5" s="7">
        <v>2219599156</v>
      </c>
      <c r="BM5" s="7">
        <v>3482112190</v>
      </c>
      <c r="BN5" s="7">
        <v>8411360361</v>
      </c>
      <c r="BO5" s="7">
        <v>2842414479</v>
      </c>
      <c r="BP5" s="7">
        <v>5876113945</v>
      </c>
      <c r="BQ5" s="7">
        <v>4273126076</v>
      </c>
      <c r="BR5" s="7">
        <v>8077085042</v>
      </c>
      <c r="BS5" s="7">
        <v>8112643867</v>
      </c>
      <c r="BT5" s="7">
        <v>3685782386</v>
      </c>
      <c r="BU5" s="7">
        <v>6205596324</v>
      </c>
      <c r="BV5" s="7">
        <v>6578497608</v>
      </c>
      <c r="BW5" s="7">
        <v>2602080020</v>
      </c>
      <c r="BX5" s="7">
        <v>8796416295</v>
      </c>
      <c r="BY5" s="7">
        <v>5978571640</v>
      </c>
      <c r="BZ5" s="7">
        <v>5716170881</v>
      </c>
      <c r="CA5" s="7">
        <v>6927479136</v>
      </c>
      <c r="CB5" s="7">
        <v>8625176197</v>
      </c>
      <c r="CC5" s="7">
        <v>3221738150</v>
      </c>
      <c r="CD5" s="7">
        <v>2217423855</v>
      </c>
    </row>
    <row r="6" spans="2:82" ht="15.5" x14ac:dyDescent="0.35">
      <c r="B6" s="31" t="s">
        <v>6</v>
      </c>
      <c r="C6" s="34" t="s">
        <v>15</v>
      </c>
      <c r="D6" s="34" t="s">
        <v>24</v>
      </c>
      <c r="E6" s="34" t="s">
        <v>28</v>
      </c>
      <c r="F6" s="34" t="s">
        <v>33</v>
      </c>
      <c r="G6" s="34" t="s">
        <v>37</v>
      </c>
      <c r="H6" s="34" t="s">
        <v>41</v>
      </c>
      <c r="I6" s="34" t="s">
        <v>45</v>
      </c>
      <c r="J6" s="34" t="s">
        <v>49</v>
      </c>
      <c r="K6" s="34" t="s">
        <v>53</v>
      </c>
      <c r="L6" s="34" t="s">
        <v>57</v>
      </c>
      <c r="M6" s="34" t="s">
        <v>61</v>
      </c>
      <c r="N6" s="34" t="s">
        <v>65</v>
      </c>
      <c r="O6" s="34" t="s">
        <v>69</v>
      </c>
      <c r="P6" s="34" t="s">
        <v>73</v>
      </c>
      <c r="Q6" s="34" t="s">
        <v>77</v>
      </c>
      <c r="R6" s="34" t="s">
        <v>81</v>
      </c>
      <c r="S6" s="34" t="s">
        <v>85</v>
      </c>
      <c r="T6" s="34" t="s">
        <v>89</v>
      </c>
      <c r="U6" s="34" t="s">
        <v>93</v>
      </c>
      <c r="V6" s="34" t="s">
        <v>97</v>
      </c>
      <c r="W6" s="34" t="s">
        <v>101</v>
      </c>
      <c r="X6" s="34" t="s">
        <v>105</v>
      </c>
      <c r="Y6" s="34" t="s">
        <v>109</v>
      </c>
      <c r="Z6" s="34" t="s">
        <v>113</v>
      </c>
      <c r="AA6" s="34" t="s">
        <v>117</v>
      </c>
      <c r="AB6" s="34" t="s">
        <v>121</v>
      </c>
      <c r="AC6" s="34" t="s">
        <v>125</v>
      </c>
      <c r="AD6" s="34" t="s">
        <v>129</v>
      </c>
      <c r="AE6" s="34" t="s">
        <v>133</v>
      </c>
      <c r="AF6" s="34" t="s">
        <v>137</v>
      </c>
      <c r="AG6" s="34" t="s">
        <v>141</v>
      </c>
      <c r="AH6" s="34" t="s">
        <v>145</v>
      </c>
      <c r="AI6" s="34" t="s">
        <v>149</v>
      </c>
      <c r="AJ6" s="34" t="s">
        <v>152</v>
      </c>
      <c r="AK6" s="34" t="s">
        <v>156</v>
      </c>
      <c r="AL6" s="34" t="s">
        <v>160</v>
      </c>
      <c r="AM6" s="34" t="s">
        <v>164</v>
      </c>
      <c r="AN6" s="34" t="s">
        <v>168</v>
      </c>
      <c r="AO6" s="34" t="s">
        <v>172</v>
      </c>
      <c r="AP6" s="34" t="s">
        <v>176</v>
      </c>
      <c r="AQ6" s="34" t="s">
        <v>180</v>
      </c>
      <c r="AR6" s="34" t="s">
        <v>184</v>
      </c>
      <c r="AS6" s="34" t="s">
        <v>187</v>
      </c>
      <c r="AT6" s="34" t="s">
        <v>191</v>
      </c>
      <c r="AU6" s="34" t="s">
        <v>195</v>
      </c>
      <c r="AV6" s="34" t="s">
        <v>199</v>
      </c>
      <c r="AW6" s="34" t="s">
        <v>203</v>
      </c>
      <c r="AX6" s="34" t="s">
        <v>207</v>
      </c>
      <c r="AY6" s="34" t="s">
        <v>211</v>
      </c>
      <c r="AZ6" s="34" t="s">
        <v>215</v>
      </c>
      <c r="BA6" s="34" t="s">
        <v>219</v>
      </c>
      <c r="BB6" s="34" t="s">
        <v>223</v>
      </c>
      <c r="BC6" s="34" t="s">
        <v>227</v>
      </c>
      <c r="BD6" s="34" t="s">
        <v>231</v>
      </c>
      <c r="BE6" s="34" t="s">
        <v>235</v>
      </c>
      <c r="BF6" s="34" t="s">
        <v>239</v>
      </c>
      <c r="BG6" s="34" t="s">
        <v>243</v>
      </c>
      <c r="BH6" s="34" t="s">
        <v>247</v>
      </c>
      <c r="BI6" s="34" t="s">
        <v>251</v>
      </c>
      <c r="BJ6" s="34" t="s">
        <v>254</v>
      </c>
      <c r="BK6" s="34" t="s">
        <v>258</v>
      </c>
      <c r="BL6" s="34" t="s">
        <v>262</v>
      </c>
      <c r="BM6" s="34" t="s">
        <v>265</v>
      </c>
      <c r="BN6" s="34" t="s">
        <v>269</v>
      </c>
      <c r="BO6" s="34" t="s">
        <v>273</v>
      </c>
      <c r="BP6" s="34" t="s">
        <v>277</v>
      </c>
      <c r="BQ6" s="34" t="s">
        <v>281</v>
      </c>
      <c r="BR6" s="34" t="s">
        <v>285</v>
      </c>
      <c r="BS6" s="34" t="s">
        <v>289</v>
      </c>
      <c r="BT6" s="34" t="s">
        <v>292</v>
      </c>
      <c r="BU6" s="34" t="s">
        <v>295</v>
      </c>
      <c r="BV6" s="34" t="s">
        <v>299</v>
      </c>
      <c r="BW6" s="34" t="s">
        <v>303</v>
      </c>
      <c r="BX6" s="34" t="s">
        <v>307</v>
      </c>
      <c r="BY6" s="34" t="s">
        <v>311</v>
      </c>
      <c r="BZ6" s="34" t="s">
        <v>315</v>
      </c>
      <c r="CA6" s="34" t="s">
        <v>319</v>
      </c>
      <c r="CB6" s="34" t="s">
        <v>323</v>
      </c>
      <c r="CC6" s="34" t="s">
        <v>326</v>
      </c>
      <c r="CD6" s="34" t="s">
        <v>329</v>
      </c>
    </row>
    <row r="7" spans="2:82" ht="15.5" x14ac:dyDescent="0.35">
      <c r="B7" s="31" t="s">
        <v>7</v>
      </c>
      <c r="C7" s="32" t="s">
        <v>16</v>
      </c>
      <c r="D7" s="32" t="s">
        <v>16</v>
      </c>
      <c r="E7" s="32" t="s">
        <v>29</v>
      </c>
      <c r="F7" s="32" t="s">
        <v>29</v>
      </c>
      <c r="G7" s="32" t="s">
        <v>29</v>
      </c>
      <c r="H7" s="32" t="s">
        <v>29</v>
      </c>
      <c r="I7" s="32" t="s">
        <v>29</v>
      </c>
      <c r="J7" s="32" t="s">
        <v>29</v>
      </c>
      <c r="K7" s="32" t="s">
        <v>16</v>
      </c>
      <c r="L7" s="32" t="s">
        <v>16</v>
      </c>
      <c r="M7" s="32" t="s">
        <v>29</v>
      </c>
      <c r="N7" s="32" t="s">
        <v>29</v>
      </c>
      <c r="O7" s="32" t="s">
        <v>16</v>
      </c>
      <c r="P7" s="32" t="s">
        <v>29</v>
      </c>
      <c r="Q7" s="32" t="s">
        <v>16</v>
      </c>
      <c r="R7" s="32" t="s">
        <v>29</v>
      </c>
      <c r="S7" s="32" t="s">
        <v>16</v>
      </c>
      <c r="T7" s="32" t="s">
        <v>16</v>
      </c>
      <c r="U7" s="32" t="s">
        <v>16</v>
      </c>
      <c r="V7" s="32" t="s">
        <v>29</v>
      </c>
      <c r="W7" s="32" t="s">
        <v>16</v>
      </c>
      <c r="X7" s="32" t="s">
        <v>29</v>
      </c>
      <c r="Y7" s="32" t="s">
        <v>16</v>
      </c>
      <c r="Z7" s="32" t="s">
        <v>29</v>
      </c>
      <c r="AA7" s="32" t="s">
        <v>29</v>
      </c>
      <c r="AB7" s="32" t="s">
        <v>16</v>
      </c>
      <c r="AC7" s="32" t="s">
        <v>16</v>
      </c>
      <c r="AD7" s="32" t="s">
        <v>16</v>
      </c>
      <c r="AE7" s="32" t="s">
        <v>29</v>
      </c>
      <c r="AF7" s="32" t="s">
        <v>29</v>
      </c>
      <c r="AG7" s="32" t="s">
        <v>29</v>
      </c>
      <c r="AH7" s="32" t="s">
        <v>29</v>
      </c>
      <c r="AI7" s="32" t="s">
        <v>16</v>
      </c>
      <c r="AJ7" s="32" t="s">
        <v>16</v>
      </c>
      <c r="AK7" s="32" t="s">
        <v>16</v>
      </c>
      <c r="AL7" s="32" t="s">
        <v>16</v>
      </c>
      <c r="AM7" s="32" t="s">
        <v>16</v>
      </c>
      <c r="AN7" s="32" t="s">
        <v>29</v>
      </c>
      <c r="AO7" s="32" t="s">
        <v>16</v>
      </c>
      <c r="AP7" s="32" t="s">
        <v>29</v>
      </c>
      <c r="AQ7" s="32" t="s">
        <v>29</v>
      </c>
      <c r="AR7" s="32" t="s">
        <v>16</v>
      </c>
      <c r="AS7" s="32" t="s">
        <v>29</v>
      </c>
      <c r="AT7" s="32" t="s">
        <v>29</v>
      </c>
      <c r="AU7" s="32" t="s">
        <v>29</v>
      </c>
      <c r="AV7" s="32" t="s">
        <v>29</v>
      </c>
      <c r="AW7" s="32" t="s">
        <v>29</v>
      </c>
      <c r="AX7" s="32" t="s">
        <v>16</v>
      </c>
      <c r="AY7" s="32" t="s">
        <v>29</v>
      </c>
      <c r="AZ7" s="32" t="s">
        <v>16</v>
      </c>
      <c r="BA7" s="32" t="s">
        <v>29</v>
      </c>
      <c r="BB7" s="32" t="s">
        <v>29</v>
      </c>
      <c r="BC7" s="32" t="s">
        <v>29</v>
      </c>
      <c r="BD7" s="32" t="s">
        <v>29</v>
      </c>
      <c r="BE7" s="32" t="s">
        <v>16</v>
      </c>
      <c r="BF7" s="32" t="s">
        <v>16</v>
      </c>
      <c r="BG7" s="32" t="s">
        <v>29</v>
      </c>
      <c r="BH7" s="32" t="s">
        <v>29</v>
      </c>
      <c r="BI7" s="32" t="s">
        <v>16</v>
      </c>
      <c r="BJ7" s="32" t="s">
        <v>29</v>
      </c>
      <c r="BK7" s="32" t="s">
        <v>29</v>
      </c>
      <c r="BL7" s="32" t="s">
        <v>29</v>
      </c>
      <c r="BM7" s="32" t="s">
        <v>29</v>
      </c>
      <c r="BN7" s="32" t="s">
        <v>29</v>
      </c>
      <c r="BO7" s="33" t="s">
        <v>29</v>
      </c>
      <c r="BP7" s="33" t="s">
        <v>16</v>
      </c>
      <c r="BQ7" s="33" t="s">
        <v>29</v>
      </c>
      <c r="BR7" s="33" t="s">
        <v>16</v>
      </c>
      <c r="BS7" s="33" t="s">
        <v>29</v>
      </c>
      <c r="BT7" s="33" t="s">
        <v>16</v>
      </c>
      <c r="BU7" s="33" t="s">
        <v>29</v>
      </c>
      <c r="BV7" s="33" t="s">
        <v>29</v>
      </c>
      <c r="BW7" s="33" t="s">
        <v>29</v>
      </c>
      <c r="BX7" s="33" t="s">
        <v>29</v>
      </c>
      <c r="BY7" s="33" t="s">
        <v>29</v>
      </c>
      <c r="BZ7" s="33" t="s">
        <v>29</v>
      </c>
      <c r="CA7" s="33" t="s">
        <v>16</v>
      </c>
      <c r="CB7" s="32" t="s">
        <v>29</v>
      </c>
      <c r="CC7" s="32" t="s">
        <v>29</v>
      </c>
      <c r="CD7" s="32" t="s">
        <v>29</v>
      </c>
    </row>
  </sheetData>
  <hyperlinks>
    <hyperlink ref="E6" r:id="rId1" xr:uid="{CC88AA6E-FF13-456D-B10A-F48C6AF3B137}"/>
    <hyperlink ref="C6" r:id="rId2" xr:uid="{6A7931CF-1226-49FB-B5FB-C178261A131F}"/>
    <hyperlink ref="D6" r:id="rId3" xr:uid="{9B42CCFD-A069-4D00-BEE3-DEE00293FB82}"/>
    <hyperlink ref="F6" r:id="rId4" xr:uid="{2DA282C9-3DCF-41F9-B776-BAD0991D5E17}"/>
    <hyperlink ref="G6" r:id="rId5" xr:uid="{CD5EC76F-E548-42F4-B848-1F408981AE48}"/>
    <hyperlink ref="H6" r:id="rId6" xr:uid="{0545ABD1-6817-4680-8439-2F7C1B40FE4D}"/>
    <hyperlink ref="I6" r:id="rId7" xr:uid="{57EDB623-2F12-4673-B81C-A380BC0A0B00}"/>
    <hyperlink ref="J6" r:id="rId8" xr:uid="{6EF59730-8062-4167-8F41-DD9D86FCC09F}"/>
    <hyperlink ref="K6" r:id="rId9" xr:uid="{A6B3B2F1-30FB-4A96-8FB7-AACCD6908017}"/>
    <hyperlink ref="L6" r:id="rId10" xr:uid="{4872FBAD-40F3-41ED-A88B-2A9E6EEF530F}"/>
    <hyperlink ref="M6" r:id="rId11" xr:uid="{E31D2622-311C-49F6-988F-B8FE269B3AD1}"/>
    <hyperlink ref="N6" r:id="rId12" xr:uid="{2163D210-3B1D-4ABD-80A7-B3084CEDD7F1}"/>
    <hyperlink ref="O6" r:id="rId13" xr:uid="{277678ED-20ED-4F4F-BEE3-2A2F809DDB30}"/>
    <hyperlink ref="P6" r:id="rId14" xr:uid="{211E279B-A463-4139-BF8E-134569291520}"/>
    <hyperlink ref="Q6" r:id="rId15" xr:uid="{03C401CC-4C66-4604-B994-9C2B57AC49AC}"/>
    <hyperlink ref="R6" r:id="rId16" xr:uid="{6E924AF3-162D-428E-BF27-441AFAE194AE}"/>
    <hyperlink ref="S6" r:id="rId17" xr:uid="{C3C11AA5-FF2C-4C47-BC63-D278B00884DA}"/>
    <hyperlink ref="T6" r:id="rId18" xr:uid="{19E6D62D-D4C4-4138-9E98-FF577DA786C9}"/>
    <hyperlink ref="U6" r:id="rId19" xr:uid="{1292C1B8-11B6-474A-80DD-692351EF6B53}"/>
    <hyperlink ref="V6" r:id="rId20" xr:uid="{1249B6F3-8654-4FE1-8D8B-B48EA49DA876}"/>
    <hyperlink ref="W6" r:id="rId21" xr:uid="{9286337C-7017-468F-A7C2-322FF5C46C5E}"/>
    <hyperlink ref="X6" r:id="rId22" xr:uid="{AA26A96B-8144-4026-98B1-9EC2AE6383AB}"/>
    <hyperlink ref="Y6" r:id="rId23" xr:uid="{EA63605F-A09A-42F4-9DDF-62413941D3E5}"/>
    <hyperlink ref="Z6" r:id="rId24" xr:uid="{CB1619E7-BA79-44BE-9576-9362E03E021A}"/>
    <hyperlink ref="AA6" r:id="rId25" xr:uid="{48DE3BE2-65D0-451D-A511-272F44C236A7}"/>
    <hyperlink ref="AB6" r:id="rId26" xr:uid="{16CD9C69-5227-4BC2-8DEC-42CD7F37A860}"/>
    <hyperlink ref="AC6" r:id="rId27" xr:uid="{F7014700-3512-44EF-9D4B-DE14F9159D93}"/>
    <hyperlink ref="AD6" r:id="rId28" xr:uid="{FE68F909-E897-4D01-8753-4EE39C0AF77A}"/>
    <hyperlink ref="AE6" r:id="rId29" xr:uid="{0F582A67-0D25-4901-824F-5449FC73D503}"/>
    <hyperlink ref="AF6" r:id="rId30" xr:uid="{E3EE5711-B1EF-4672-A39A-3779C88D5EDA}"/>
    <hyperlink ref="AG6" r:id="rId31" xr:uid="{174767EE-9FAD-4B3A-A185-252E6CD37093}"/>
    <hyperlink ref="AH6" r:id="rId32" xr:uid="{CE34D7DE-4ADF-4E7C-8F6F-28AF84D87986}"/>
    <hyperlink ref="AI6" r:id="rId33" xr:uid="{06BD0C4E-458D-4320-8101-0FB255B50414}"/>
    <hyperlink ref="AJ6" r:id="rId34" xr:uid="{98C3BBA8-FB43-4050-A176-AFF9F99F3EAC}"/>
    <hyperlink ref="AK6" r:id="rId35" xr:uid="{EDC37373-9F86-4B59-BFB3-B5615C1D063F}"/>
    <hyperlink ref="AL6" r:id="rId36" xr:uid="{F281C649-156B-474F-9664-C04FC55B37EF}"/>
    <hyperlink ref="AM6" r:id="rId37" xr:uid="{5A57A1E9-EC11-46AD-861F-14411962F2FF}"/>
    <hyperlink ref="AN6" r:id="rId38" xr:uid="{D25C4643-00B9-4934-B518-22043725FDEF}"/>
    <hyperlink ref="AO6" r:id="rId39" xr:uid="{6545B1ED-38BC-4B22-BE90-0C4D8BF3AD62}"/>
    <hyperlink ref="AP6" r:id="rId40" xr:uid="{A9CD5E89-FD73-47D6-AB18-4BA35EA4EFD3}"/>
    <hyperlink ref="AQ6" r:id="rId41" xr:uid="{76B50A8E-802E-4341-8968-321A22AB58CA}"/>
    <hyperlink ref="AR6" r:id="rId42" xr:uid="{731347FF-95C3-476C-9E9D-04D47DEB7C59}"/>
    <hyperlink ref="AS6" r:id="rId43" xr:uid="{2138744B-623E-45A2-87F7-65C89040AE09}"/>
    <hyperlink ref="AT6" r:id="rId44" xr:uid="{7AF6613E-2912-46F3-8EC6-C09213B1145E}"/>
    <hyperlink ref="AU6" r:id="rId45" xr:uid="{440B21B8-34B9-407E-97BA-260D20C9B64D}"/>
    <hyperlink ref="AV6" r:id="rId46" xr:uid="{CA696B43-5DDD-4163-9364-1956DCD5863A}"/>
    <hyperlink ref="AW6" r:id="rId47" xr:uid="{2B5117F5-ACDF-4E5D-BBF1-7307575C59DB}"/>
    <hyperlink ref="AX6" r:id="rId48" xr:uid="{363489E9-2634-4B73-8947-85B26DE0F300}"/>
    <hyperlink ref="AY6" r:id="rId49" xr:uid="{A74B6298-0903-4309-A045-AD8E836B7E4C}"/>
    <hyperlink ref="AZ6" r:id="rId50" xr:uid="{774D8D01-17FB-49FC-89D3-863AB172F48A}"/>
    <hyperlink ref="BA6" r:id="rId51" xr:uid="{B27082FF-47D0-482E-81D5-B645F897E0D3}"/>
    <hyperlink ref="BB6" r:id="rId52" xr:uid="{F0559A9E-B656-422A-BF5A-D76EE24F89C2}"/>
    <hyperlink ref="BC6" r:id="rId53" xr:uid="{634F0517-326B-40AE-AA7D-C0669F988008}"/>
    <hyperlink ref="BD6" r:id="rId54" xr:uid="{0EE2B995-7765-4584-8398-B6934E9ED48E}"/>
    <hyperlink ref="BE6" r:id="rId55" xr:uid="{7191123D-805F-4364-8734-492B7F07826C}"/>
    <hyperlink ref="BF6" r:id="rId56" xr:uid="{FDAA3A87-55B4-4154-9B14-0E3C7DC9FC2E}"/>
    <hyperlink ref="BG6" r:id="rId57" xr:uid="{08B71721-B10F-441C-9751-3977AE583D6B}"/>
    <hyperlink ref="BH6" r:id="rId58" xr:uid="{5B82C568-ADF9-478E-90C2-88F5D58259D9}"/>
    <hyperlink ref="BI6" r:id="rId59" xr:uid="{7E30535F-E14D-45A8-8DF3-CCA4F4074827}"/>
    <hyperlink ref="BJ6" r:id="rId60" xr:uid="{9DB93D84-F23E-4A46-912B-030E092646E2}"/>
    <hyperlink ref="BK6" r:id="rId61" xr:uid="{859A8EE5-762B-4E03-94CE-1ED1FC2161CE}"/>
    <hyperlink ref="BL6" r:id="rId62" xr:uid="{62112E41-4C5D-4628-8E46-5C7CBAA8D749}"/>
    <hyperlink ref="BM6" r:id="rId63" xr:uid="{7A4AB763-C99D-4DE7-82A2-9EA3659BCFB8}"/>
    <hyperlink ref="BN6" r:id="rId64" xr:uid="{3FAD7BCB-C5B1-4E0A-9391-15C95813DFC5}"/>
    <hyperlink ref="BO6" r:id="rId65" xr:uid="{F38662A9-D86B-4820-A80C-405553EEBB57}"/>
    <hyperlink ref="BP6" r:id="rId66" xr:uid="{F4BCB1DB-C5F2-4069-932A-5F55EFD3B7A5}"/>
    <hyperlink ref="BQ6" r:id="rId67" xr:uid="{A2B1A73D-C80D-4084-8D8B-5397B91C9040}"/>
    <hyperlink ref="BR6" r:id="rId68" xr:uid="{35521D74-BA79-4D13-91E7-E7D7A6813EBA}"/>
    <hyperlink ref="BS6" r:id="rId69" xr:uid="{D9A5FC2B-DD0E-4009-925C-AF2819F11068}"/>
    <hyperlink ref="BT6" r:id="rId70" xr:uid="{80A17ACB-8D7D-4284-A39E-0E13DE04B211}"/>
    <hyperlink ref="BU6" r:id="rId71" xr:uid="{9645C920-689A-4832-B8E4-D479015156CC}"/>
    <hyperlink ref="BV6" r:id="rId72" xr:uid="{D7E6C3EC-CD44-4203-8058-C5FE69F72021}"/>
    <hyperlink ref="BW6" r:id="rId73" xr:uid="{51ACADDF-00B5-4488-B20D-5E68DBC2313F}"/>
    <hyperlink ref="BX6" r:id="rId74" xr:uid="{1ABB7549-5BF0-48E1-8592-6F148427EAA8}"/>
    <hyperlink ref="BY6" r:id="rId75" xr:uid="{B77D62B5-208B-4EB1-B749-38F9575F2B3E}"/>
    <hyperlink ref="BZ6" r:id="rId76" xr:uid="{C7AB6A2A-DD2B-4669-A313-C779F98DCB19}"/>
    <hyperlink ref="CA6" r:id="rId77" xr:uid="{F76F2775-2483-4F0D-A0B3-6DA3B7BE83A6}"/>
    <hyperlink ref="CB6" r:id="rId78" xr:uid="{D32E8228-2125-447A-8A72-ED5FD4172AC0}"/>
    <hyperlink ref="CC6" r:id="rId79" xr:uid="{F07B6BCB-8652-4F2C-B13C-6FD902CEE934}"/>
    <hyperlink ref="CD6" r:id="rId80" xr:uid="{FA521B4E-8FF8-452F-964A-89597B15E482}"/>
  </hyperlinks>
  <pageMargins left="0.7" right="0.7" top="0.75" bottom="0.75" header="0.3" footer="0.3"/>
  <pageSetup orientation="portrait" r:id="rId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9094-8273-4A0A-A89A-87F8A1046DB3}">
  <dimension ref="F7:H8"/>
  <sheetViews>
    <sheetView showGridLines="0" workbookViewId="0">
      <selection activeCell="F7" sqref="F7:J17"/>
    </sheetView>
  </sheetViews>
  <sheetFormatPr defaultRowHeight="14.5" x14ac:dyDescent="0.35"/>
  <cols>
    <col min="6" max="6" width="18.90625" bestFit="1" customWidth="1"/>
    <col min="7" max="7" width="22.7265625" customWidth="1"/>
    <col min="8" max="8" width="18" customWidth="1"/>
  </cols>
  <sheetData>
    <row r="7" spans="6:8" ht="15.5" x14ac:dyDescent="0.35">
      <c r="F7" s="4" t="s">
        <v>2</v>
      </c>
      <c r="G7" s="4" t="s">
        <v>3</v>
      </c>
      <c r="H7" s="4" t="s">
        <v>4</v>
      </c>
    </row>
    <row r="8" spans="6:8" x14ac:dyDescent="0.35">
      <c r="F8" s="8" t="s">
        <v>197</v>
      </c>
      <c r="G8" s="8" t="str">
        <f>HLOOKUP($F$8,HData!$C$2:$CD$7,2,FALSE)</f>
        <v>R. VIGNESH</v>
      </c>
      <c r="H8" s="8" t="str">
        <f>HLOOKUP($F$8,HData!$C$2:$CD$7,3,FALSE)</f>
        <v>ITES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E9225D5-1E10-4A80-B306-0E14DF8187F5}">
          <x14:formula1>
            <xm:f>RawData!$C$2:$C$82</xm:f>
          </x14:formula1>
          <xm:sqref>F8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4E1D-F0E0-48D3-A141-473B8953EB5C}">
  <dimension ref="B1:L81"/>
  <sheetViews>
    <sheetView showGridLines="0" topLeftCell="D1" workbookViewId="0">
      <selection activeCell="J8" sqref="J8"/>
    </sheetView>
  </sheetViews>
  <sheetFormatPr defaultRowHeight="14.5" x14ac:dyDescent="0.35"/>
  <cols>
    <col min="2" max="2" width="18.90625" bestFit="1" customWidth="1"/>
    <col min="3" max="3" width="30.26953125" bestFit="1" customWidth="1"/>
    <col min="4" max="4" width="13.453125" bestFit="1" customWidth="1"/>
    <col min="5" max="5" width="10.81640625" bestFit="1" customWidth="1"/>
    <col min="6" max="6" width="42.453125" bestFit="1" customWidth="1"/>
    <col min="7" max="7" width="7.54296875" bestFit="1" customWidth="1"/>
    <col min="9" max="9" width="18.90625" bestFit="1" customWidth="1"/>
    <col min="10" max="10" width="23.90625" customWidth="1"/>
    <col min="11" max="11" width="16.36328125" customWidth="1"/>
    <col min="12" max="12" width="14.90625" customWidth="1"/>
  </cols>
  <sheetData>
    <row r="1" spans="2:12" ht="15.5" x14ac:dyDescent="0.35">
      <c r="B1" s="5" t="s">
        <v>2</v>
      </c>
      <c r="C1" s="5" t="s">
        <v>3</v>
      </c>
      <c r="D1" s="5" t="s">
        <v>4</v>
      </c>
      <c r="E1" s="4" t="s">
        <v>5</v>
      </c>
      <c r="F1" s="5" t="s">
        <v>6</v>
      </c>
      <c r="G1" s="5" t="s">
        <v>7</v>
      </c>
    </row>
    <row r="2" spans="2:12" x14ac:dyDescent="0.35">
      <c r="B2" s="8" t="s">
        <v>12</v>
      </c>
      <c r="C2" s="9" t="s">
        <v>13</v>
      </c>
      <c r="D2" s="9" t="s">
        <v>14</v>
      </c>
      <c r="E2" s="8">
        <v>6399221384</v>
      </c>
      <c r="F2" s="10" t="s">
        <v>15</v>
      </c>
      <c r="G2" s="9" t="s">
        <v>16</v>
      </c>
    </row>
    <row r="3" spans="2:12" x14ac:dyDescent="0.35">
      <c r="B3" s="8" t="s">
        <v>21</v>
      </c>
      <c r="C3" s="9" t="s">
        <v>22</v>
      </c>
      <c r="D3" s="9" t="s">
        <v>23</v>
      </c>
      <c r="E3" s="8">
        <v>8732960724</v>
      </c>
      <c r="F3" s="10" t="s">
        <v>24</v>
      </c>
      <c r="G3" s="9" t="s">
        <v>16</v>
      </c>
    </row>
    <row r="4" spans="2:12" x14ac:dyDescent="0.35">
      <c r="B4" s="8" t="s">
        <v>26</v>
      </c>
      <c r="C4" s="9" t="s">
        <v>27</v>
      </c>
      <c r="D4" s="9" t="s">
        <v>23</v>
      </c>
      <c r="E4" s="8">
        <v>3928683138</v>
      </c>
      <c r="F4" s="10" t="s">
        <v>28</v>
      </c>
      <c r="G4" s="9" t="s">
        <v>29</v>
      </c>
    </row>
    <row r="5" spans="2:12" x14ac:dyDescent="0.35">
      <c r="B5" s="8" t="s">
        <v>31</v>
      </c>
      <c r="C5" s="9" t="s">
        <v>32</v>
      </c>
      <c r="D5" s="9" t="s">
        <v>23</v>
      </c>
      <c r="E5" s="8">
        <v>6302977515</v>
      </c>
      <c r="F5" s="10" t="s">
        <v>33</v>
      </c>
      <c r="G5" s="9" t="s">
        <v>29</v>
      </c>
    </row>
    <row r="6" spans="2:12" x14ac:dyDescent="0.35">
      <c r="B6" s="8" t="s">
        <v>35</v>
      </c>
      <c r="C6" s="9" t="s">
        <v>36</v>
      </c>
      <c r="D6" s="9" t="s">
        <v>23</v>
      </c>
      <c r="E6" s="8">
        <v>3285643454</v>
      </c>
      <c r="F6" s="10" t="s">
        <v>37</v>
      </c>
      <c r="G6" s="9" t="s">
        <v>29</v>
      </c>
    </row>
    <row r="7" spans="2:12" ht="15.5" x14ac:dyDescent="0.35">
      <c r="B7" s="8" t="s">
        <v>39</v>
      </c>
      <c r="C7" s="9" t="s">
        <v>40</v>
      </c>
      <c r="D7" s="9" t="s">
        <v>14</v>
      </c>
      <c r="E7" s="8">
        <v>6204804746</v>
      </c>
      <c r="F7" s="10" t="s">
        <v>41</v>
      </c>
      <c r="G7" s="9" t="s">
        <v>29</v>
      </c>
      <c r="I7" s="4" t="s">
        <v>2</v>
      </c>
      <c r="J7" s="4" t="s">
        <v>3</v>
      </c>
      <c r="K7" s="4" t="s">
        <v>4</v>
      </c>
      <c r="L7" s="4" t="s">
        <v>5</v>
      </c>
    </row>
    <row r="8" spans="2:12" x14ac:dyDescent="0.35">
      <c r="B8" s="8" t="s">
        <v>43</v>
      </c>
      <c r="C8" s="9" t="s">
        <v>44</v>
      </c>
      <c r="D8" s="9" t="s">
        <v>23</v>
      </c>
      <c r="E8" s="8">
        <v>8402592334</v>
      </c>
      <c r="F8" s="10" t="s">
        <v>45</v>
      </c>
      <c r="G8" s="9" t="s">
        <v>29</v>
      </c>
      <c r="I8" s="8" t="s">
        <v>39</v>
      </c>
      <c r="J8" s="7" t="str">
        <f>VLOOKUP($I$8,$B$2:$G$81,2,FALSE)</f>
        <v>B SANDEEP ROY</v>
      </c>
      <c r="K8" s="7" t="str">
        <f>VLOOKUP($I$8,$B$2:$G$81,3,FALSE)</f>
        <v>ITES</v>
      </c>
      <c r="L8" s="7">
        <f>VLOOKUP($I$8,$B$2:$G$81,4,FALSE)</f>
        <v>6204804746</v>
      </c>
    </row>
    <row r="9" spans="2:12" x14ac:dyDescent="0.35">
      <c r="B9" s="8" t="s">
        <v>47</v>
      </c>
      <c r="C9" s="9" t="s">
        <v>48</v>
      </c>
      <c r="D9" s="9" t="s">
        <v>23</v>
      </c>
      <c r="E9" s="8">
        <v>1770577932</v>
      </c>
      <c r="F9" s="10" t="s">
        <v>49</v>
      </c>
      <c r="G9" s="9" t="s">
        <v>29</v>
      </c>
    </row>
    <row r="10" spans="2:12" x14ac:dyDescent="0.35">
      <c r="B10" s="8" t="s">
        <v>51</v>
      </c>
      <c r="C10" s="9" t="s">
        <v>52</v>
      </c>
      <c r="D10" s="9" t="s">
        <v>14</v>
      </c>
      <c r="E10" s="8">
        <v>1087593685</v>
      </c>
      <c r="F10" s="10" t="s">
        <v>53</v>
      </c>
      <c r="G10" s="9" t="s">
        <v>16</v>
      </c>
    </row>
    <row r="11" spans="2:12" x14ac:dyDescent="0.35">
      <c r="B11" s="8" t="s">
        <v>55</v>
      </c>
      <c r="C11" s="9" t="s">
        <v>56</v>
      </c>
      <c r="D11" s="9" t="s">
        <v>23</v>
      </c>
      <c r="E11" s="8">
        <v>1693682470</v>
      </c>
      <c r="F11" s="10" t="s">
        <v>57</v>
      </c>
      <c r="G11" s="9" t="s">
        <v>16</v>
      </c>
    </row>
    <row r="12" spans="2:12" x14ac:dyDescent="0.35">
      <c r="B12" s="8" t="s">
        <v>59</v>
      </c>
      <c r="C12" s="9" t="s">
        <v>60</v>
      </c>
      <c r="D12" s="9" t="s">
        <v>23</v>
      </c>
      <c r="E12" s="8">
        <v>1821308586</v>
      </c>
      <c r="F12" s="10" t="s">
        <v>61</v>
      </c>
      <c r="G12" s="9" t="s">
        <v>29</v>
      </c>
    </row>
    <row r="13" spans="2:12" ht="15.5" x14ac:dyDescent="0.35">
      <c r="B13" s="8" t="s">
        <v>63</v>
      </c>
      <c r="C13" s="9" t="s">
        <v>64</v>
      </c>
      <c r="D13" s="9" t="s">
        <v>23</v>
      </c>
      <c r="E13" s="8">
        <v>1683546545</v>
      </c>
      <c r="F13" s="10" t="s">
        <v>65</v>
      </c>
      <c r="G13" s="9" t="s">
        <v>29</v>
      </c>
      <c r="I13" s="4" t="s">
        <v>2</v>
      </c>
      <c r="J13" s="4" t="s">
        <v>4</v>
      </c>
    </row>
    <row r="14" spans="2:12" x14ac:dyDescent="0.35">
      <c r="B14" s="8" t="s">
        <v>67</v>
      </c>
      <c r="C14" s="9" t="s">
        <v>68</v>
      </c>
      <c r="D14" s="9" t="s">
        <v>23</v>
      </c>
      <c r="E14" s="8">
        <v>5506439807</v>
      </c>
      <c r="F14" s="10" t="s">
        <v>69</v>
      </c>
      <c r="G14" s="9" t="s">
        <v>16</v>
      </c>
      <c r="I14" s="8" t="s">
        <v>39</v>
      </c>
      <c r="J14" s="7" t="str">
        <f>VLOOKUP($I$8,$B$2:$G$81,3,FALSE)</f>
        <v>ITES</v>
      </c>
    </row>
    <row r="15" spans="2:12" x14ac:dyDescent="0.35">
      <c r="B15" s="8" t="s">
        <v>71</v>
      </c>
      <c r="C15" s="9" t="s">
        <v>72</v>
      </c>
      <c r="D15" s="9" t="s">
        <v>14</v>
      </c>
      <c r="E15" s="8">
        <v>3565997600</v>
      </c>
      <c r="F15" s="10" t="s">
        <v>73</v>
      </c>
      <c r="G15" s="9" t="s">
        <v>29</v>
      </c>
    </row>
    <row r="16" spans="2:12" x14ac:dyDescent="0.35">
      <c r="B16" s="8" t="s">
        <v>75</v>
      </c>
      <c r="C16" s="9" t="s">
        <v>76</v>
      </c>
      <c r="D16" s="9" t="s">
        <v>23</v>
      </c>
      <c r="E16" s="8">
        <v>2685014153</v>
      </c>
      <c r="F16" s="10" t="s">
        <v>77</v>
      </c>
      <c r="G16" s="9" t="s">
        <v>16</v>
      </c>
    </row>
    <row r="17" spans="2:7" x14ac:dyDescent="0.35">
      <c r="B17" s="8" t="s">
        <v>79</v>
      </c>
      <c r="C17" s="9" t="s">
        <v>80</v>
      </c>
      <c r="D17" s="9" t="s">
        <v>23</v>
      </c>
      <c r="E17" s="8">
        <v>8144007188</v>
      </c>
      <c r="F17" s="10" t="s">
        <v>81</v>
      </c>
      <c r="G17" s="9" t="s">
        <v>29</v>
      </c>
    </row>
    <row r="18" spans="2:7" x14ac:dyDescent="0.35">
      <c r="B18" s="8" t="s">
        <v>83</v>
      </c>
      <c r="C18" s="9" t="s">
        <v>84</v>
      </c>
      <c r="D18" s="9" t="s">
        <v>14</v>
      </c>
      <c r="E18" s="8">
        <v>5451418853</v>
      </c>
      <c r="F18" s="10" t="s">
        <v>85</v>
      </c>
      <c r="G18" s="9" t="s">
        <v>16</v>
      </c>
    </row>
    <row r="19" spans="2:7" x14ac:dyDescent="0.35">
      <c r="B19" s="8" t="s">
        <v>87</v>
      </c>
      <c r="C19" s="9" t="s">
        <v>88</v>
      </c>
      <c r="D19" s="9" t="s">
        <v>23</v>
      </c>
      <c r="E19" s="8">
        <v>2352093828</v>
      </c>
      <c r="F19" s="10" t="s">
        <v>89</v>
      </c>
      <c r="G19" s="9" t="s">
        <v>16</v>
      </c>
    </row>
    <row r="20" spans="2:7" x14ac:dyDescent="0.35">
      <c r="B20" s="8" t="s">
        <v>91</v>
      </c>
      <c r="C20" s="9" t="s">
        <v>92</v>
      </c>
      <c r="D20" s="9" t="s">
        <v>23</v>
      </c>
      <c r="E20" s="8">
        <v>4851546652</v>
      </c>
      <c r="F20" s="10" t="s">
        <v>93</v>
      </c>
      <c r="G20" s="9" t="s">
        <v>16</v>
      </c>
    </row>
    <row r="21" spans="2:7" x14ac:dyDescent="0.35">
      <c r="B21" s="8" t="s">
        <v>95</v>
      </c>
      <c r="C21" s="9" t="s">
        <v>96</v>
      </c>
      <c r="D21" s="9" t="s">
        <v>14</v>
      </c>
      <c r="E21" s="8">
        <v>6604423032</v>
      </c>
      <c r="F21" s="10" t="s">
        <v>97</v>
      </c>
      <c r="G21" s="9" t="s">
        <v>29</v>
      </c>
    </row>
    <row r="22" spans="2:7" x14ac:dyDescent="0.35">
      <c r="B22" s="8" t="s">
        <v>99</v>
      </c>
      <c r="C22" s="9" t="s">
        <v>100</v>
      </c>
      <c r="D22" s="9" t="s">
        <v>14</v>
      </c>
      <c r="E22" s="8">
        <v>4267924443</v>
      </c>
      <c r="F22" s="10" t="s">
        <v>101</v>
      </c>
      <c r="G22" s="9" t="s">
        <v>16</v>
      </c>
    </row>
    <row r="23" spans="2:7" x14ac:dyDescent="0.35">
      <c r="B23" s="8" t="s">
        <v>103</v>
      </c>
      <c r="C23" s="9" t="s">
        <v>104</v>
      </c>
      <c r="D23" s="9" t="s">
        <v>23</v>
      </c>
      <c r="E23" s="8">
        <v>2776428499</v>
      </c>
      <c r="F23" s="10" t="s">
        <v>105</v>
      </c>
      <c r="G23" s="9" t="s">
        <v>29</v>
      </c>
    </row>
    <row r="24" spans="2:7" x14ac:dyDescent="0.35">
      <c r="B24" s="8" t="s">
        <v>107</v>
      </c>
      <c r="C24" s="9" t="s">
        <v>108</v>
      </c>
      <c r="D24" s="9" t="s">
        <v>23</v>
      </c>
      <c r="E24" s="8">
        <v>2344591250</v>
      </c>
      <c r="F24" s="10" t="s">
        <v>109</v>
      </c>
      <c r="G24" s="9" t="s">
        <v>16</v>
      </c>
    </row>
    <row r="25" spans="2:7" x14ac:dyDescent="0.35">
      <c r="B25" s="8" t="s">
        <v>111</v>
      </c>
      <c r="C25" s="9" t="s">
        <v>112</v>
      </c>
      <c r="D25" s="9" t="s">
        <v>23</v>
      </c>
      <c r="E25" s="8">
        <v>4564000793</v>
      </c>
      <c r="F25" s="10" t="s">
        <v>113</v>
      </c>
      <c r="G25" s="9" t="s">
        <v>29</v>
      </c>
    </row>
    <row r="26" spans="2:7" x14ac:dyDescent="0.35">
      <c r="B26" s="8" t="s">
        <v>115</v>
      </c>
      <c r="C26" s="9" t="s">
        <v>116</v>
      </c>
      <c r="D26" s="9" t="s">
        <v>23</v>
      </c>
      <c r="E26" s="8">
        <v>7831800139</v>
      </c>
      <c r="F26" s="10" t="s">
        <v>117</v>
      </c>
      <c r="G26" s="9" t="s">
        <v>29</v>
      </c>
    </row>
    <row r="27" spans="2:7" x14ac:dyDescent="0.35">
      <c r="B27" s="8" t="s">
        <v>119</v>
      </c>
      <c r="C27" s="9" t="s">
        <v>120</v>
      </c>
      <c r="D27" s="9" t="s">
        <v>23</v>
      </c>
      <c r="E27" s="8">
        <v>1359937879</v>
      </c>
      <c r="F27" s="10" t="s">
        <v>121</v>
      </c>
      <c r="G27" s="9" t="s">
        <v>16</v>
      </c>
    </row>
    <row r="28" spans="2:7" x14ac:dyDescent="0.35">
      <c r="B28" s="8" t="s">
        <v>123</v>
      </c>
      <c r="C28" s="9" t="s">
        <v>124</v>
      </c>
      <c r="D28" s="9" t="s">
        <v>14</v>
      </c>
      <c r="E28" s="8">
        <v>8357059907</v>
      </c>
      <c r="F28" s="10" t="s">
        <v>125</v>
      </c>
      <c r="G28" s="9" t="s">
        <v>16</v>
      </c>
    </row>
    <row r="29" spans="2:7" x14ac:dyDescent="0.35">
      <c r="B29" s="8" t="s">
        <v>127</v>
      </c>
      <c r="C29" s="9" t="s">
        <v>128</v>
      </c>
      <c r="D29" s="9" t="s">
        <v>23</v>
      </c>
      <c r="E29" s="8">
        <v>8195300576</v>
      </c>
      <c r="F29" s="10" t="s">
        <v>129</v>
      </c>
      <c r="G29" s="9" t="s">
        <v>16</v>
      </c>
    </row>
    <row r="30" spans="2:7" x14ac:dyDescent="0.35">
      <c r="B30" s="8" t="s">
        <v>131</v>
      </c>
      <c r="C30" s="9" t="s">
        <v>132</v>
      </c>
      <c r="D30" s="9" t="s">
        <v>23</v>
      </c>
      <c r="E30" s="8">
        <v>3908490120</v>
      </c>
      <c r="F30" s="10" t="s">
        <v>133</v>
      </c>
      <c r="G30" s="9" t="s">
        <v>29</v>
      </c>
    </row>
    <row r="31" spans="2:7" x14ac:dyDescent="0.35">
      <c r="B31" s="8" t="s">
        <v>135</v>
      </c>
      <c r="C31" s="9" t="s">
        <v>136</v>
      </c>
      <c r="D31" s="9" t="s">
        <v>23</v>
      </c>
      <c r="E31" s="8">
        <v>6654686097</v>
      </c>
      <c r="F31" s="10" t="s">
        <v>137</v>
      </c>
      <c r="G31" s="9" t="s">
        <v>29</v>
      </c>
    </row>
    <row r="32" spans="2:7" x14ac:dyDescent="0.35">
      <c r="B32" s="8" t="s">
        <v>139</v>
      </c>
      <c r="C32" s="9" t="s">
        <v>140</v>
      </c>
      <c r="D32" s="9" t="s">
        <v>23</v>
      </c>
      <c r="E32" s="8">
        <v>3176554504</v>
      </c>
      <c r="F32" s="10" t="s">
        <v>141</v>
      </c>
      <c r="G32" s="9" t="s">
        <v>29</v>
      </c>
    </row>
    <row r="33" spans="2:7" x14ac:dyDescent="0.35">
      <c r="B33" s="8" t="s">
        <v>143</v>
      </c>
      <c r="C33" s="9" t="s">
        <v>144</v>
      </c>
      <c r="D33" s="9" t="s">
        <v>14</v>
      </c>
      <c r="E33" s="8">
        <v>7375541777</v>
      </c>
      <c r="F33" s="10" t="s">
        <v>145</v>
      </c>
      <c r="G33" s="9" t="s">
        <v>29</v>
      </c>
    </row>
    <row r="34" spans="2:7" x14ac:dyDescent="0.35">
      <c r="B34" s="8" t="s">
        <v>147</v>
      </c>
      <c r="C34" s="9" t="s">
        <v>148</v>
      </c>
      <c r="D34" s="9" t="s">
        <v>14</v>
      </c>
      <c r="E34" s="8">
        <v>2307603936</v>
      </c>
      <c r="F34" s="10" t="s">
        <v>149</v>
      </c>
      <c r="G34" s="9" t="s">
        <v>16</v>
      </c>
    </row>
    <row r="35" spans="2:7" x14ac:dyDescent="0.35">
      <c r="B35" s="8" t="s">
        <v>150</v>
      </c>
      <c r="C35" s="9" t="s">
        <v>151</v>
      </c>
      <c r="D35" s="9" t="s">
        <v>23</v>
      </c>
      <c r="E35" s="8">
        <v>7539961295</v>
      </c>
      <c r="F35" s="10" t="s">
        <v>152</v>
      </c>
      <c r="G35" s="9" t="s">
        <v>16</v>
      </c>
    </row>
    <row r="36" spans="2:7" x14ac:dyDescent="0.35">
      <c r="B36" s="8" t="s">
        <v>154</v>
      </c>
      <c r="C36" s="9" t="s">
        <v>155</v>
      </c>
      <c r="D36" s="9" t="s">
        <v>23</v>
      </c>
      <c r="E36" s="8">
        <v>8714929594</v>
      </c>
      <c r="F36" s="10" t="s">
        <v>156</v>
      </c>
      <c r="G36" s="9" t="s">
        <v>16</v>
      </c>
    </row>
    <row r="37" spans="2:7" x14ac:dyDescent="0.35">
      <c r="B37" s="8" t="s">
        <v>158</v>
      </c>
      <c r="C37" s="9" t="s">
        <v>159</v>
      </c>
      <c r="D37" s="9" t="s">
        <v>14</v>
      </c>
      <c r="E37" s="8">
        <v>6748495954</v>
      </c>
      <c r="F37" s="10" t="s">
        <v>160</v>
      </c>
      <c r="G37" s="9" t="s">
        <v>16</v>
      </c>
    </row>
    <row r="38" spans="2:7" x14ac:dyDescent="0.35">
      <c r="B38" s="8" t="s">
        <v>162</v>
      </c>
      <c r="C38" s="9" t="s">
        <v>163</v>
      </c>
      <c r="D38" s="9" t="s">
        <v>23</v>
      </c>
      <c r="E38" s="8">
        <v>5598318903</v>
      </c>
      <c r="F38" s="10" t="s">
        <v>164</v>
      </c>
      <c r="G38" s="9" t="s">
        <v>16</v>
      </c>
    </row>
    <row r="39" spans="2:7" x14ac:dyDescent="0.35">
      <c r="B39" s="8" t="s">
        <v>166</v>
      </c>
      <c r="C39" s="9" t="s">
        <v>167</v>
      </c>
      <c r="D39" s="9" t="s">
        <v>23</v>
      </c>
      <c r="E39" s="8">
        <v>5366755536</v>
      </c>
      <c r="F39" s="10" t="s">
        <v>168</v>
      </c>
      <c r="G39" s="9" t="s">
        <v>29</v>
      </c>
    </row>
    <row r="40" spans="2:7" x14ac:dyDescent="0.35">
      <c r="B40" s="8" t="s">
        <v>170</v>
      </c>
      <c r="C40" s="9" t="s">
        <v>171</v>
      </c>
      <c r="D40" s="9" t="s">
        <v>14</v>
      </c>
      <c r="E40" s="8">
        <v>5685425899</v>
      </c>
      <c r="F40" s="10" t="s">
        <v>172</v>
      </c>
      <c r="G40" s="9" t="s">
        <v>16</v>
      </c>
    </row>
    <row r="41" spans="2:7" x14ac:dyDescent="0.35">
      <c r="B41" s="8" t="s">
        <v>174</v>
      </c>
      <c r="C41" s="9" t="s">
        <v>175</v>
      </c>
      <c r="D41" s="9" t="s">
        <v>14</v>
      </c>
      <c r="E41" s="8">
        <v>8546891943</v>
      </c>
      <c r="F41" s="10" t="s">
        <v>176</v>
      </c>
      <c r="G41" s="9" t="s">
        <v>29</v>
      </c>
    </row>
    <row r="42" spans="2:7" x14ac:dyDescent="0.35">
      <c r="B42" s="8" t="s">
        <v>178</v>
      </c>
      <c r="C42" s="9" t="s">
        <v>179</v>
      </c>
      <c r="D42" s="9" t="s">
        <v>14</v>
      </c>
      <c r="E42" s="8">
        <v>7905481507</v>
      </c>
      <c r="F42" s="10" t="s">
        <v>180</v>
      </c>
      <c r="G42" s="9" t="s">
        <v>29</v>
      </c>
    </row>
    <row r="43" spans="2:7" x14ac:dyDescent="0.35">
      <c r="B43" s="8" t="s">
        <v>182</v>
      </c>
      <c r="C43" s="9" t="s">
        <v>183</v>
      </c>
      <c r="D43" s="9" t="s">
        <v>14</v>
      </c>
      <c r="E43" s="8">
        <v>5681445328</v>
      </c>
      <c r="F43" s="10" t="s">
        <v>184</v>
      </c>
      <c r="G43" s="9" t="s">
        <v>16</v>
      </c>
    </row>
    <row r="44" spans="2:7" x14ac:dyDescent="0.35">
      <c r="B44" s="8" t="s">
        <v>185</v>
      </c>
      <c r="C44" s="9" t="s">
        <v>186</v>
      </c>
      <c r="D44" s="9" t="s">
        <v>23</v>
      </c>
      <c r="E44" s="8">
        <v>1576469041</v>
      </c>
      <c r="F44" s="10" t="s">
        <v>187</v>
      </c>
      <c r="G44" s="9" t="s">
        <v>29</v>
      </c>
    </row>
    <row r="45" spans="2:7" x14ac:dyDescent="0.35">
      <c r="B45" s="8" t="s">
        <v>189</v>
      </c>
      <c r="C45" s="9" t="s">
        <v>190</v>
      </c>
      <c r="D45" s="9" t="s">
        <v>23</v>
      </c>
      <c r="E45" s="8">
        <v>7244391357</v>
      </c>
      <c r="F45" s="10" t="s">
        <v>191</v>
      </c>
      <c r="G45" s="9" t="s">
        <v>29</v>
      </c>
    </row>
    <row r="46" spans="2:7" x14ac:dyDescent="0.35">
      <c r="B46" s="8" t="s">
        <v>193</v>
      </c>
      <c r="C46" s="9" t="s">
        <v>194</v>
      </c>
      <c r="D46" s="9" t="s">
        <v>23</v>
      </c>
      <c r="E46" s="8">
        <v>5713887644</v>
      </c>
      <c r="F46" s="10" t="s">
        <v>195</v>
      </c>
      <c r="G46" s="9" t="s">
        <v>29</v>
      </c>
    </row>
    <row r="47" spans="2:7" x14ac:dyDescent="0.35">
      <c r="B47" s="8" t="s">
        <v>197</v>
      </c>
      <c r="C47" s="9" t="s">
        <v>198</v>
      </c>
      <c r="D47" s="9" t="s">
        <v>14</v>
      </c>
      <c r="E47" s="8">
        <v>4360003876</v>
      </c>
      <c r="F47" s="10" t="s">
        <v>199</v>
      </c>
      <c r="G47" s="9" t="s">
        <v>29</v>
      </c>
    </row>
    <row r="48" spans="2:7" x14ac:dyDescent="0.35">
      <c r="B48" s="8" t="s">
        <v>201</v>
      </c>
      <c r="C48" s="9" t="s">
        <v>202</v>
      </c>
      <c r="D48" s="9" t="s">
        <v>23</v>
      </c>
      <c r="E48" s="8">
        <v>6232183694</v>
      </c>
      <c r="F48" s="10" t="s">
        <v>203</v>
      </c>
      <c r="G48" s="9" t="s">
        <v>29</v>
      </c>
    </row>
    <row r="49" spans="2:7" x14ac:dyDescent="0.35">
      <c r="B49" s="8" t="s">
        <v>205</v>
      </c>
      <c r="C49" s="9" t="s">
        <v>206</v>
      </c>
      <c r="D49" s="9" t="s">
        <v>23</v>
      </c>
      <c r="E49" s="8">
        <v>6682877186</v>
      </c>
      <c r="F49" s="10" t="s">
        <v>207</v>
      </c>
      <c r="G49" s="9" t="s">
        <v>16</v>
      </c>
    </row>
    <row r="50" spans="2:7" x14ac:dyDescent="0.35">
      <c r="B50" s="8" t="s">
        <v>209</v>
      </c>
      <c r="C50" s="9" t="s">
        <v>210</v>
      </c>
      <c r="D50" s="9" t="s">
        <v>14</v>
      </c>
      <c r="E50" s="8">
        <v>8911831176</v>
      </c>
      <c r="F50" s="10" t="s">
        <v>211</v>
      </c>
      <c r="G50" s="9" t="s">
        <v>29</v>
      </c>
    </row>
    <row r="51" spans="2:7" x14ac:dyDescent="0.35">
      <c r="B51" s="8" t="s">
        <v>213</v>
      </c>
      <c r="C51" s="9" t="s">
        <v>214</v>
      </c>
      <c r="D51" s="9" t="s">
        <v>23</v>
      </c>
      <c r="E51" s="8">
        <v>5328455783</v>
      </c>
      <c r="F51" s="10" t="s">
        <v>215</v>
      </c>
      <c r="G51" s="9" t="s">
        <v>16</v>
      </c>
    </row>
    <row r="52" spans="2:7" x14ac:dyDescent="0.35">
      <c r="B52" s="8" t="s">
        <v>217</v>
      </c>
      <c r="C52" s="9" t="s">
        <v>218</v>
      </c>
      <c r="D52" s="9" t="s">
        <v>14</v>
      </c>
      <c r="E52" s="8">
        <v>4825148027</v>
      </c>
      <c r="F52" s="10" t="s">
        <v>219</v>
      </c>
      <c r="G52" s="9" t="s">
        <v>29</v>
      </c>
    </row>
    <row r="53" spans="2:7" x14ac:dyDescent="0.35">
      <c r="B53" s="8" t="s">
        <v>221</v>
      </c>
      <c r="C53" s="9" t="s">
        <v>222</v>
      </c>
      <c r="D53" s="9" t="s">
        <v>23</v>
      </c>
      <c r="E53" s="8">
        <v>3228331930</v>
      </c>
      <c r="F53" s="10" t="s">
        <v>223</v>
      </c>
      <c r="G53" s="9" t="s">
        <v>29</v>
      </c>
    </row>
    <row r="54" spans="2:7" x14ac:dyDescent="0.35">
      <c r="B54" s="8" t="s">
        <v>225</v>
      </c>
      <c r="C54" s="9" t="s">
        <v>226</v>
      </c>
      <c r="D54" s="9" t="s">
        <v>23</v>
      </c>
      <c r="E54" s="8">
        <v>7158666834</v>
      </c>
      <c r="F54" s="10" t="s">
        <v>227</v>
      </c>
      <c r="G54" s="9" t="s">
        <v>29</v>
      </c>
    </row>
    <row r="55" spans="2:7" x14ac:dyDescent="0.35">
      <c r="B55" s="8" t="s">
        <v>229</v>
      </c>
      <c r="C55" s="9" t="s">
        <v>230</v>
      </c>
      <c r="D55" s="9" t="s">
        <v>23</v>
      </c>
      <c r="E55" s="8">
        <v>7998839021</v>
      </c>
      <c r="F55" s="10" t="s">
        <v>231</v>
      </c>
      <c r="G55" s="9" t="s">
        <v>29</v>
      </c>
    </row>
    <row r="56" spans="2:7" x14ac:dyDescent="0.35">
      <c r="B56" s="8" t="s">
        <v>233</v>
      </c>
      <c r="C56" s="9" t="s">
        <v>234</v>
      </c>
      <c r="D56" s="9" t="s">
        <v>23</v>
      </c>
      <c r="E56" s="8">
        <v>8550635195</v>
      </c>
      <c r="F56" s="10" t="s">
        <v>235</v>
      </c>
      <c r="G56" s="9" t="s">
        <v>16</v>
      </c>
    </row>
    <row r="57" spans="2:7" x14ac:dyDescent="0.35">
      <c r="B57" s="8" t="s">
        <v>237</v>
      </c>
      <c r="C57" s="9" t="s">
        <v>238</v>
      </c>
      <c r="D57" s="9" t="s">
        <v>23</v>
      </c>
      <c r="E57" s="8">
        <v>8733465367</v>
      </c>
      <c r="F57" s="10" t="s">
        <v>239</v>
      </c>
      <c r="G57" s="9" t="s">
        <v>16</v>
      </c>
    </row>
    <row r="58" spans="2:7" x14ac:dyDescent="0.35">
      <c r="B58" s="8" t="s">
        <v>241</v>
      </c>
      <c r="C58" s="9" t="s">
        <v>242</v>
      </c>
      <c r="D58" s="9" t="s">
        <v>14</v>
      </c>
      <c r="E58" s="8">
        <v>6153044829</v>
      </c>
      <c r="F58" s="10" t="s">
        <v>243</v>
      </c>
      <c r="G58" s="9" t="s">
        <v>29</v>
      </c>
    </row>
    <row r="59" spans="2:7" x14ac:dyDescent="0.35">
      <c r="B59" s="8" t="s">
        <v>245</v>
      </c>
      <c r="C59" s="9" t="s">
        <v>246</v>
      </c>
      <c r="D59" s="9" t="s">
        <v>23</v>
      </c>
      <c r="E59" s="8">
        <v>4496254693</v>
      </c>
      <c r="F59" s="10" t="s">
        <v>247</v>
      </c>
      <c r="G59" s="9" t="s">
        <v>29</v>
      </c>
    </row>
    <row r="60" spans="2:7" x14ac:dyDescent="0.35">
      <c r="B60" s="8" t="s">
        <v>249</v>
      </c>
      <c r="C60" s="9" t="s">
        <v>250</v>
      </c>
      <c r="D60" s="9" t="s">
        <v>23</v>
      </c>
      <c r="E60" s="8">
        <v>2881088394</v>
      </c>
      <c r="F60" s="10" t="s">
        <v>251</v>
      </c>
      <c r="G60" s="9" t="s">
        <v>16</v>
      </c>
    </row>
    <row r="61" spans="2:7" x14ac:dyDescent="0.35">
      <c r="B61" s="8" t="s">
        <v>252</v>
      </c>
      <c r="C61" s="9" t="s">
        <v>253</v>
      </c>
      <c r="D61" s="9" t="s">
        <v>14</v>
      </c>
      <c r="E61" s="8">
        <v>3401449282</v>
      </c>
      <c r="F61" s="10" t="s">
        <v>254</v>
      </c>
      <c r="G61" s="9" t="s">
        <v>29</v>
      </c>
    </row>
    <row r="62" spans="2:7" x14ac:dyDescent="0.35">
      <c r="B62" s="8" t="s">
        <v>256</v>
      </c>
      <c r="C62" s="9" t="s">
        <v>257</v>
      </c>
      <c r="D62" s="9" t="s">
        <v>23</v>
      </c>
      <c r="E62" s="8">
        <v>4405995363</v>
      </c>
      <c r="F62" s="10" t="s">
        <v>258</v>
      </c>
      <c r="G62" s="9" t="s">
        <v>29</v>
      </c>
    </row>
    <row r="63" spans="2:7" x14ac:dyDescent="0.35">
      <c r="B63" s="8" t="s">
        <v>260</v>
      </c>
      <c r="C63" s="9" t="s">
        <v>261</v>
      </c>
      <c r="D63" s="9" t="s">
        <v>23</v>
      </c>
      <c r="E63" s="8">
        <v>2219599156</v>
      </c>
      <c r="F63" s="10" t="s">
        <v>262</v>
      </c>
      <c r="G63" s="9" t="s">
        <v>29</v>
      </c>
    </row>
    <row r="64" spans="2:7" x14ac:dyDescent="0.35">
      <c r="B64" s="8" t="s">
        <v>263</v>
      </c>
      <c r="C64" s="9" t="s">
        <v>264</v>
      </c>
      <c r="D64" s="9" t="s">
        <v>14</v>
      </c>
      <c r="E64" s="8">
        <v>3482112190</v>
      </c>
      <c r="F64" s="10" t="s">
        <v>265</v>
      </c>
      <c r="G64" s="9" t="s">
        <v>29</v>
      </c>
    </row>
    <row r="65" spans="2:7" x14ac:dyDescent="0.35">
      <c r="B65" s="8" t="s">
        <v>267</v>
      </c>
      <c r="C65" s="9" t="s">
        <v>268</v>
      </c>
      <c r="D65" s="9" t="s">
        <v>23</v>
      </c>
      <c r="E65" s="8">
        <v>8411360361</v>
      </c>
      <c r="F65" s="10" t="s">
        <v>269</v>
      </c>
      <c r="G65" s="9" t="s">
        <v>29</v>
      </c>
    </row>
    <row r="66" spans="2:7" ht="15.5" x14ac:dyDescent="0.35">
      <c r="B66" s="8" t="s">
        <v>271</v>
      </c>
      <c r="C66" s="13" t="s">
        <v>272</v>
      </c>
      <c r="D66" s="13" t="s">
        <v>14</v>
      </c>
      <c r="E66" s="8">
        <v>2842414479</v>
      </c>
      <c r="F66" s="10" t="s">
        <v>273</v>
      </c>
      <c r="G66" s="13" t="s">
        <v>29</v>
      </c>
    </row>
    <row r="67" spans="2:7" ht="15.5" x14ac:dyDescent="0.35">
      <c r="B67" s="8" t="s">
        <v>275</v>
      </c>
      <c r="C67" s="13" t="s">
        <v>276</v>
      </c>
      <c r="D67" s="13" t="s">
        <v>23</v>
      </c>
      <c r="E67" s="8">
        <v>5876113945</v>
      </c>
      <c r="F67" s="10" t="s">
        <v>277</v>
      </c>
      <c r="G67" s="13" t="s">
        <v>16</v>
      </c>
    </row>
    <row r="68" spans="2:7" ht="15.5" x14ac:dyDescent="0.35">
      <c r="B68" s="8" t="s">
        <v>279</v>
      </c>
      <c r="C68" s="13" t="s">
        <v>280</v>
      </c>
      <c r="D68" s="13" t="s">
        <v>23</v>
      </c>
      <c r="E68" s="8">
        <v>4273126076</v>
      </c>
      <c r="F68" s="10" t="s">
        <v>281</v>
      </c>
      <c r="G68" s="13" t="s">
        <v>29</v>
      </c>
    </row>
    <row r="69" spans="2:7" ht="15.5" x14ac:dyDescent="0.35">
      <c r="B69" s="8" t="s">
        <v>283</v>
      </c>
      <c r="C69" s="13" t="s">
        <v>284</v>
      </c>
      <c r="D69" s="13" t="s">
        <v>23</v>
      </c>
      <c r="E69" s="8">
        <v>8077085042</v>
      </c>
      <c r="F69" s="10" t="s">
        <v>285</v>
      </c>
      <c r="G69" s="13" t="s">
        <v>16</v>
      </c>
    </row>
    <row r="70" spans="2:7" ht="15.5" x14ac:dyDescent="0.35">
      <c r="B70" s="8" t="s">
        <v>287</v>
      </c>
      <c r="C70" s="13" t="s">
        <v>288</v>
      </c>
      <c r="D70" s="13" t="s">
        <v>14</v>
      </c>
      <c r="E70" s="8">
        <v>8112643867</v>
      </c>
      <c r="F70" s="10" t="s">
        <v>289</v>
      </c>
      <c r="G70" s="13" t="s">
        <v>29</v>
      </c>
    </row>
    <row r="71" spans="2:7" ht="15.5" x14ac:dyDescent="0.35">
      <c r="B71" s="8" t="s">
        <v>290</v>
      </c>
      <c r="C71" s="13" t="s">
        <v>291</v>
      </c>
      <c r="D71" s="13" t="s">
        <v>23</v>
      </c>
      <c r="E71" s="8">
        <v>3685782386</v>
      </c>
      <c r="F71" s="10" t="s">
        <v>292</v>
      </c>
      <c r="G71" s="13" t="s">
        <v>16</v>
      </c>
    </row>
    <row r="72" spans="2:7" ht="15.5" x14ac:dyDescent="0.35">
      <c r="B72" s="8" t="s">
        <v>293</v>
      </c>
      <c r="C72" s="13" t="s">
        <v>294</v>
      </c>
      <c r="D72" s="13" t="s">
        <v>23</v>
      </c>
      <c r="E72" s="8">
        <v>6205596324</v>
      </c>
      <c r="F72" s="10" t="s">
        <v>295</v>
      </c>
      <c r="G72" s="13" t="s">
        <v>29</v>
      </c>
    </row>
    <row r="73" spans="2:7" ht="15.5" x14ac:dyDescent="0.35">
      <c r="B73" s="8" t="s">
        <v>297</v>
      </c>
      <c r="C73" s="13" t="s">
        <v>298</v>
      </c>
      <c r="D73" s="13" t="s">
        <v>14</v>
      </c>
      <c r="E73" s="8">
        <v>6578497608</v>
      </c>
      <c r="F73" s="10" t="s">
        <v>299</v>
      </c>
      <c r="G73" s="13" t="s">
        <v>29</v>
      </c>
    </row>
    <row r="74" spans="2:7" ht="15.5" x14ac:dyDescent="0.35">
      <c r="B74" s="8" t="s">
        <v>301</v>
      </c>
      <c r="C74" s="13" t="s">
        <v>302</v>
      </c>
      <c r="D74" s="13" t="s">
        <v>23</v>
      </c>
      <c r="E74" s="8">
        <v>2602080020</v>
      </c>
      <c r="F74" s="10" t="s">
        <v>303</v>
      </c>
      <c r="G74" s="13" t="s">
        <v>29</v>
      </c>
    </row>
    <row r="75" spans="2:7" ht="15.5" x14ac:dyDescent="0.35">
      <c r="B75" s="8" t="s">
        <v>305</v>
      </c>
      <c r="C75" s="13" t="s">
        <v>306</v>
      </c>
      <c r="D75" s="13" t="s">
        <v>14</v>
      </c>
      <c r="E75" s="8">
        <v>8796416295</v>
      </c>
      <c r="F75" s="10" t="s">
        <v>307</v>
      </c>
      <c r="G75" s="13" t="s">
        <v>29</v>
      </c>
    </row>
    <row r="76" spans="2:7" ht="15.5" x14ac:dyDescent="0.35">
      <c r="B76" s="8" t="s">
        <v>309</v>
      </c>
      <c r="C76" s="13" t="s">
        <v>310</v>
      </c>
      <c r="D76" s="13" t="s">
        <v>14</v>
      </c>
      <c r="E76" s="8">
        <v>5978571640</v>
      </c>
      <c r="F76" s="10" t="s">
        <v>311</v>
      </c>
      <c r="G76" s="13" t="s">
        <v>29</v>
      </c>
    </row>
    <row r="77" spans="2:7" ht="15.5" x14ac:dyDescent="0.35">
      <c r="B77" s="8" t="s">
        <v>313</v>
      </c>
      <c r="C77" s="13" t="s">
        <v>314</v>
      </c>
      <c r="D77" s="13" t="s">
        <v>23</v>
      </c>
      <c r="E77" s="8">
        <v>5716170881</v>
      </c>
      <c r="F77" s="10" t="s">
        <v>315</v>
      </c>
      <c r="G77" s="13" t="s">
        <v>29</v>
      </c>
    </row>
    <row r="78" spans="2:7" ht="15.5" x14ac:dyDescent="0.35">
      <c r="B78" s="8" t="s">
        <v>317</v>
      </c>
      <c r="C78" s="13" t="s">
        <v>318</v>
      </c>
      <c r="D78" s="13" t="s">
        <v>23</v>
      </c>
      <c r="E78" s="8">
        <v>6927479136</v>
      </c>
      <c r="F78" s="10" t="s">
        <v>319</v>
      </c>
      <c r="G78" s="13" t="s">
        <v>16</v>
      </c>
    </row>
    <row r="79" spans="2:7" x14ac:dyDescent="0.35">
      <c r="B79" s="8" t="s">
        <v>321</v>
      </c>
      <c r="C79" s="9" t="s">
        <v>322</v>
      </c>
      <c r="D79" s="9" t="s">
        <v>23</v>
      </c>
      <c r="E79" s="8">
        <v>8625176197</v>
      </c>
      <c r="F79" s="10" t="s">
        <v>323</v>
      </c>
      <c r="G79" s="9" t="s">
        <v>29</v>
      </c>
    </row>
    <row r="80" spans="2:7" x14ac:dyDescent="0.35">
      <c r="B80" s="8" t="s">
        <v>324</v>
      </c>
      <c r="C80" s="9" t="s">
        <v>325</v>
      </c>
      <c r="D80" s="9" t="s">
        <v>23</v>
      </c>
      <c r="E80" s="8">
        <v>3221738150</v>
      </c>
      <c r="F80" s="10" t="s">
        <v>326</v>
      </c>
      <c r="G80" s="9" t="s">
        <v>29</v>
      </c>
    </row>
    <row r="81" spans="2:7" x14ac:dyDescent="0.35">
      <c r="B81" s="8" t="s">
        <v>327</v>
      </c>
      <c r="C81" s="9" t="s">
        <v>328</v>
      </c>
      <c r="D81" s="9" t="s">
        <v>23</v>
      </c>
      <c r="E81" s="8">
        <v>2217423855</v>
      </c>
      <c r="F81" s="10" t="s">
        <v>329</v>
      </c>
      <c r="G81" s="9" t="s">
        <v>29</v>
      </c>
    </row>
  </sheetData>
  <hyperlinks>
    <hyperlink ref="F4" r:id="rId1" xr:uid="{6943E37F-BE0E-4591-A6F6-7D28447CB517}"/>
    <hyperlink ref="F2" r:id="rId2" xr:uid="{DDD4A9F0-DA53-4FB5-AF62-0C2444BE95C7}"/>
    <hyperlink ref="F3" r:id="rId3" xr:uid="{7EC446AE-AC49-4409-B4A0-FB28D014BBC4}"/>
    <hyperlink ref="F5" r:id="rId4" xr:uid="{D3226654-88B7-4F6F-B176-0E480EA0D834}"/>
    <hyperlink ref="F6" r:id="rId5" xr:uid="{1AD5482B-AC4B-41ED-8356-6AD9814D21DA}"/>
    <hyperlink ref="F7" r:id="rId6" xr:uid="{84D5582D-B820-4D5C-88FA-B35B77A940D4}"/>
    <hyperlink ref="F8" r:id="rId7" xr:uid="{39BCA94F-9C04-4388-AD25-CDFEA938E7AF}"/>
    <hyperlink ref="F9" r:id="rId8" xr:uid="{1AC0DA67-77A1-43A9-9103-03CCB7F32691}"/>
    <hyperlink ref="F10" r:id="rId9" xr:uid="{F7110F2C-5A64-41D1-B7B3-281DE8C6D51C}"/>
    <hyperlink ref="F11" r:id="rId10" xr:uid="{B44F1FC4-1E31-4F8A-8670-114EAE6EA6BC}"/>
    <hyperlink ref="F12" r:id="rId11" xr:uid="{14D19F92-B046-469F-A877-4B1300E6D689}"/>
    <hyperlink ref="F13" r:id="rId12" xr:uid="{147A47B7-F155-4336-9788-6B179D5BF187}"/>
    <hyperlink ref="F14" r:id="rId13" xr:uid="{6AA18A9D-C782-4534-9C57-135D44AFFEE5}"/>
    <hyperlink ref="F15" r:id="rId14" xr:uid="{59EEDF3C-6696-46C2-AA64-F4DA51473AFB}"/>
    <hyperlink ref="F16" r:id="rId15" xr:uid="{053C18E4-09B4-47F9-BF70-657337BC4663}"/>
    <hyperlink ref="F17" r:id="rId16" xr:uid="{731ABF34-9EC4-4A95-AC5C-B50636C71CF0}"/>
    <hyperlink ref="F18" r:id="rId17" xr:uid="{7148438B-3343-40D4-AA50-DCF01AACEA03}"/>
    <hyperlink ref="F19" r:id="rId18" xr:uid="{88AA0A7E-A7AB-44D7-8920-EF90BB22AAE2}"/>
    <hyperlink ref="F20" r:id="rId19" xr:uid="{FEE72464-922B-49C9-8F4E-5CE06C964B8C}"/>
    <hyperlink ref="F21" r:id="rId20" xr:uid="{E16A2264-A890-4E46-AA74-CEE52774FA23}"/>
    <hyperlink ref="F22" r:id="rId21" xr:uid="{46682D2B-31DF-47D8-89EF-3E5A45E6D74F}"/>
    <hyperlink ref="F23" r:id="rId22" xr:uid="{D182E977-89F5-4E26-BF96-0A6D1AF86C4E}"/>
    <hyperlink ref="F24" r:id="rId23" xr:uid="{D87E773D-65CD-4014-ABF9-DE00AA0B4CFC}"/>
    <hyperlink ref="F25" r:id="rId24" xr:uid="{7FC92933-4D91-432A-8F01-E4BF9EED3C23}"/>
    <hyperlink ref="F26" r:id="rId25" xr:uid="{7BD8642C-1553-49EA-9A61-A591879DFD13}"/>
    <hyperlink ref="F27" r:id="rId26" xr:uid="{D6718DB4-B245-4640-B742-C10798DCCE30}"/>
    <hyperlink ref="F28" r:id="rId27" xr:uid="{AEE2EBF9-0B62-47CE-BCA3-AEBE809AFC13}"/>
    <hyperlink ref="F29" r:id="rId28" xr:uid="{3C7DEE42-AF07-471F-9704-0507636B5697}"/>
    <hyperlink ref="F30" r:id="rId29" xr:uid="{577DA0CE-89F1-4842-B2BE-63F6D03BAF32}"/>
    <hyperlink ref="F31" r:id="rId30" xr:uid="{229F3285-99D1-433B-B9CB-C280A1D40D0E}"/>
    <hyperlink ref="F32" r:id="rId31" xr:uid="{4466B59F-44A6-48A9-AFE1-82D34906FB66}"/>
    <hyperlink ref="F33" r:id="rId32" xr:uid="{1014172D-ED88-4CDC-A21A-CDB7B92A8BE2}"/>
    <hyperlink ref="F34" r:id="rId33" xr:uid="{8B63EDD7-6016-4E6F-86D7-F95B28BCA162}"/>
    <hyperlink ref="F35" r:id="rId34" xr:uid="{18DB288E-09D4-4807-BE1C-058C18A1FA4E}"/>
    <hyperlink ref="F36" r:id="rId35" xr:uid="{6F82EF6D-B99C-4307-9911-4521CEB064AC}"/>
    <hyperlink ref="F37" r:id="rId36" xr:uid="{7FFAE770-A5CC-4C79-8151-8C13F9AE806D}"/>
    <hyperlink ref="F38" r:id="rId37" xr:uid="{184C7823-10F9-4327-AE43-6B21495D0EF1}"/>
    <hyperlink ref="F39" r:id="rId38" xr:uid="{58C0AF87-4056-4128-9785-9B4EFC364CF7}"/>
    <hyperlink ref="F40" r:id="rId39" xr:uid="{FE6AC069-D8B7-4F50-81EB-14F4250AB5BB}"/>
    <hyperlink ref="F41" r:id="rId40" xr:uid="{265F0D60-9987-4E1F-A126-AFF5099FAD95}"/>
    <hyperlink ref="F42" r:id="rId41" xr:uid="{5560D5AE-C718-48AF-A6BF-D2385BEEFF8B}"/>
    <hyperlink ref="F43" r:id="rId42" xr:uid="{884AE74E-97A2-45F3-B739-C302EAE3CB81}"/>
    <hyperlink ref="F44" r:id="rId43" xr:uid="{47E531DE-C8B3-4339-A582-8E4759D443FA}"/>
    <hyperlink ref="F45" r:id="rId44" xr:uid="{5E67178E-989E-4326-A3FB-2A5CE07839C3}"/>
    <hyperlink ref="F46" r:id="rId45" xr:uid="{E6E99883-FABB-4209-B24F-9C0F61AA4D4E}"/>
    <hyperlink ref="F47" r:id="rId46" xr:uid="{992C83D4-6B57-4C6B-A38E-6915C5EC8699}"/>
    <hyperlink ref="F48" r:id="rId47" xr:uid="{1A2CD049-9613-42B0-9D9F-0666E1B48968}"/>
    <hyperlink ref="F49" r:id="rId48" xr:uid="{A31C9221-A794-4C62-BA3B-E8E2075F52AE}"/>
    <hyperlink ref="F50" r:id="rId49" xr:uid="{61064FB7-9B52-46DC-9947-5F401B6E4816}"/>
    <hyperlink ref="F51" r:id="rId50" xr:uid="{877A8C5F-0E67-4CD2-A82F-DB2D51675824}"/>
    <hyperlink ref="F52" r:id="rId51" xr:uid="{074351BD-7E48-4D7E-AF0F-08B61C07A958}"/>
    <hyperlink ref="F53" r:id="rId52" xr:uid="{010F8ACA-77ED-4660-A700-77AEA480C818}"/>
    <hyperlink ref="F54" r:id="rId53" xr:uid="{F9489530-D1FD-4073-85AE-A8A303E66D9E}"/>
    <hyperlink ref="F55" r:id="rId54" xr:uid="{4E0A27AC-60C2-474F-9F11-62AF70A6BE86}"/>
    <hyperlink ref="F56" r:id="rId55" xr:uid="{22B81662-CCB4-4EE4-B6FD-1C4A05007CB5}"/>
    <hyperlink ref="F57" r:id="rId56" xr:uid="{8BD23F6D-FBDD-4771-92F1-E6C199B3C46B}"/>
    <hyperlink ref="F58" r:id="rId57" xr:uid="{92A3361C-42D0-4EA7-808B-02BABE32A965}"/>
    <hyperlink ref="F59" r:id="rId58" xr:uid="{5FACC9F7-35C3-4BF5-AD4F-164F1FE7E726}"/>
    <hyperlink ref="F60" r:id="rId59" xr:uid="{B441F379-6B9E-479F-A523-D5BC8EB63C4D}"/>
    <hyperlink ref="F61" r:id="rId60" xr:uid="{CFE2FD04-F224-4D13-801A-76E90ADAB18F}"/>
    <hyperlink ref="F62" r:id="rId61" xr:uid="{920CB2CD-FDBD-450C-8376-E089DFF7EA3C}"/>
    <hyperlink ref="F63" r:id="rId62" xr:uid="{0CE60922-9603-4A9D-BEF8-93C5193C95B9}"/>
    <hyperlink ref="F64" r:id="rId63" xr:uid="{BF623135-CAD7-44D2-B5F1-4C74A9BA41BE}"/>
    <hyperlink ref="F65" r:id="rId64" xr:uid="{BBEAAC60-5C9A-4642-848E-9FFF49BEE65D}"/>
    <hyperlink ref="F66" r:id="rId65" xr:uid="{CC9B4ED2-5106-4A93-977B-2D3006201848}"/>
    <hyperlink ref="F67" r:id="rId66" xr:uid="{25110AE2-39C6-4612-92F5-3599D3BC96E1}"/>
    <hyperlink ref="F68" r:id="rId67" xr:uid="{54D2D0F8-59CC-4A34-A105-FFDD89FDCC1D}"/>
    <hyperlink ref="F69" r:id="rId68" xr:uid="{1D64158C-8A4C-4C96-B1E1-3930C60F7404}"/>
    <hyperlink ref="F70" r:id="rId69" xr:uid="{04F6593B-321C-4EF9-99F2-02E6CB3B6967}"/>
    <hyperlink ref="F71" r:id="rId70" xr:uid="{01A02736-F06E-4CAE-BF70-477F1A62C58A}"/>
    <hyperlink ref="F72" r:id="rId71" xr:uid="{4FC38C7E-D28B-49CA-93A6-E03338048D79}"/>
    <hyperlink ref="F73" r:id="rId72" xr:uid="{EF1462A7-E3F3-499B-88CD-EC708B7C96EA}"/>
    <hyperlink ref="F74" r:id="rId73" xr:uid="{BC5F0E95-03A9-41DA-BF05-D7C5A2647688}"/>
    <hyperlink ref="F75" r:id="rId74" xr:uid="{D943752C-8978-4026-8820-4E840B78C676}"/>
    <hyperlink ref="F76" r:id="rId75" xr:uid="{AF040A4F-8111-45F0-B849-F590460FF188}"/>
    <hyperlink ref="F77" r:id="rId76" xr:uid="{32D4A9F8-F159-4F1B-A327-D61C0DC20347}"/>
    <hyperlink ref="F78" r:id="rId77" xr:uid="{F77AF0B9-5612-4F04-89E2-6055CCF19D60}"/>
    <hyperlink ref="F79" r:id="rId78" xr:uid="{01346624-D180-412A-892F-FE0139E6B735}"/>
    <hyperlink ref="F80" r:id="rId79" xr:uid="{E7C5F277-8805-4F9B-8F2D-225682D76ABC}"/>
    <hyperlink ref="F81" r:id="rId80" xr:uid="{2047F7F9-9CFF-44BB-B494-08C02829D0AB}"/>
  </hyperlinks>
  <pageMargins left="0.7" right="0.7" top="0.75" bottom="0.75" header="0.3" footer="0.3"/>
  <pageSetup orientation="portrait" r:id="rId8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2C67-833C-46AB-A423-5F580E3249B4}">
  <dimension ref="A1:K85"/>
  <sheetViews>
    <sheetView showGridLines="0" tabSelected="1" topLeftCell="F10" workbookViewId="0">
      <selection activeCell="N18" sqref="N18"/>
    </sheetView>
  </sheetViews>
  <sheetFormatPr defaultRowHeight="14.5" x14ac:dyDescent="0.35"/>
  <cols>
    <col min="1" max="1" width="18.90625" bestFit="1" customWidth="1"/>
    <col min="2" max="2" width="18.90625" customWidth="1"/>
    <col min="3" max="3" width="30.26953125" bestFit="1" customWidth="1"/>
    <col min="4" max="4" width="13.453125" bestFit="1" customWidth="1"/>
    <col min="5" max="5" width="10.81640625" bestFit="1" customWidth="1"/>
    <col min="7" max="7" width="16.90625" customWidth="1"/>
    <col min="8" max="8" width="18.90625" bestFit="1" customWidth="1"/>
    <col min="9" max="9" width="20.7265625" customWidth="1"/>
    <col min="10" max="10" width="17" customWidth="1"/>
    <col min="11" max="11" width="14.08984375" customWidth="1"/>
  </cols>
  <sheetData>
    <row r="1" spans="1:9" ht="15.5" x14ac:dyDescent="0.35">
      <c r="A1" s="5" t="s">
        <v>2</v>
      </c>
      <c r="B1" s="5"/>
      <c r="C1" s="5" t="s">
        <v>3</v>
      </c>
      <c r="D1" s="5" t="s">
        <v>4</v>
      </c>
      <c r="E1" s="4" t="s">
        <v>5</v>
      </c>
    </row>
    <row r="2" spans="1:9" x14ac:dyDescent="0.35">
      <c r="A2" s="8" t="s">
        <v>12</v>
      </c>
      <c r="B2" s="8"/>
      <c r="C2" s="9" t="s">
        <v>13</v>
      </c>
      <c r="D2" s="9" t="s">
        <v>14</v>
      </c>
      <c r="E2" s="8">
        <v>6399221384</v>
      </c>
    </row>
    <row r="3" spans="1:9" x14ac:dyDescent="0.35">
      <c r="A3" s="8" t="s">
        <v>21</v>
      </c>
      <c r="B3" s="8"/>
      <c r="C3" s="9" t="s">
        <v>22</v>
      </c>
      <c r="D3" s="9" t="s">
        <v>23</v>
      </c>
      <c r="E3" s="8">
        <v>8732960724</v>
      </c>
    </row>
    <row r="4" spans="1:9" ht="15.5" x14ac:dyDescent="0.35">
      <c r="A4" s="8" t="s">
        <v>26</v>
      </c>
      <c r="B4" s="8"/>
      <c r="C4" s="9" t="s">
        <v>27</v>
      </c>
      <c r="D4" s="9" t="s">
        <v>23</v>
      </c>
      <c r="E4" s="8">
        <v>3928683138</v>
      </c>
      <c r="H4" s="4" t="s">
        <v>387</v>
      </c>
      <c r="I4" s="4" t="s">
        <v>388</v>
      </c>
    </row>
    <row r="5" spans="1:9" x14ac:dyDescent="0.35">
      <c r="A5" s="8" t="s">
        <v>31</v>
      </c>
      <c r="B5" s="8"/>
      <c r="C5" s="9" t="s">
        <v>32</v>
      </c>
      <c r="D5" s="9" t="s">
        <v>23</v>
      </c>
      <c r="E5" s="8">
        <v>6302977515</v>
      </c>
      <c r="H5" s="7">
        <f>INDEX($A$2:$E$81,10,2)</f>
        <v>0</v>
      </c>
      <c r="I5" s="8" t="str">
        <f>INDEX(C2:C1000,10)</f>
        <v>BURRI VINITHA</v>
      </c>
    </row>
    <row r="6" spans="1:9" x14ac:dyDescent="0.35">
      <c r="A6" s="8" t="s">
        <v>35</v>
      </c>
      <c r="B6" s="8"/>
      <c r="C6" s="9" t="s">
        <v>36</v>
      </c>
      <c r="D6" s="9" t="s">
        <v>23</v>
      </c>
      <c r="E6" s="8">
        <v>3285643454</v>
      </c>
      <c r="H6" s="8" t="str">
        <f>INDEX($A$2:$E$81,10,4)</f>
        <v>Full Stack</v>
      </c>
      <c r="I6" s="8">
        <f>INDEX($E$2:$E$81,10)</f>
        <v>1693682470</v>
      </c>
    </row>
    <row r="7" spans="1:9" x14ac:dyDescent="0.35">
      <c r="A7" s="8" t="s">
        <v>39</v>
      </c>
      <c r="B7" s="8"/>
      <c r="C7" s="9" t="s">
        <v>40</v>
      </c>
      <c r="D7" s="9" t="s">
        <v>14</v>
      </c>
      <c r="E7" s="8">
        <v>6204804746</v>
      </c>
    </row>
    <row r="8" spans="1:9" x14ac:dyDescent="0.35">
      <c r="A8" s="8" t="s">
        <v>43</v>
      </c>
      <c r="B8" s="8"/>
      <c r="C8" s="9" t="s">
        <v>44</v>
      </c>
      <c r="D8" s="9" t="s">
        <v>23</v>
      </c>
      <c r="E8" s="8">
        <v>8402592334</v>
      </c>
    </row>
    <row r="9" spans="1:9" x14ac:dyDescent="0.35">
      <c r="A9" s="8" t="s">
        <v>47</v>
      </c>
      <c r="B9" s="8"/>
      <c r="C9" s="9" t="s">
        <v>48</v>
      </c>
      <c r="D9" s="9" t="s">
        <v>23</v>
      </c>
      <c r="E9" s="8">
        <v>1770577932</v>
      </c>
    </row>
    <row r="10" spans="1:9" x14ac:dyDescent="0.35">
      <c r="A10" s="8" t="s">
        <v>51</v>
      </c>
      <c r="B10" s="8"/>
      <c r="C10" s="9" t="s">
        <v>52</v>
      </c>
      <c r="D10" s="9" t="s">
        <v>14</v>
      </c>
      <c r="E10" s="8">
        <v>1087593685</v>
      </c>
    </row>
    <row r="11" spans="1:9" ht="15.5" x14ac:dyDescent="0.35">
      <c r="A11" s="8" t="s">
        <v>55</v>
      </c>
      <c r="B11" s="8"/>
      <c r="C11" s="9" t="s">
        <v>56</v>
      </c>
      <c r="D11" s="9" t="s">
        <v>23</v>
      </c>
      <c r="E11" s="8">
        <v>1693682470</v>
      </c>
      <c r="H11" s="4" t="s">
        <v>389</v>
      </c>
    </row>
    <row r="12" spans="1:9" x14ac:dyDescent="0.35">
      <c r="A12" s="8" t="s">
        <v>59</v>
      </c>
      <c r="B12" s="8"/>
      <c r="C12" s="9" t="s">
        <v>60</v>
      </c>
      <c r="D12" s="9" t="s">
        <v>23</v>
      </c>
      <c r="E12" s="8">
        <v>1821308586</v>
      </c>
      <c r="G12" s="35" t="s">
        <v>95</v>
      </c>
      <c r="H12" s="8">
        <f>MATCH($G$12,$A$2:$A$82,0)</f>
        <v>20</v>
      </c>
    </row>
    <row r="13" spans="1:9" x14ac:dyDescent="0.35">
      <c r="A13" s="8" t="s">
        <v>63</v>
      </c>
      <c r="B13" s="8"/>
      <c r="C13" s="9" t="s">
        <v>64</v>
      </c>
      <c r="D13" s="9" t="s">
        <v>23</v>
      </c>
      <c r="E13" s="8">
        <v>1683546545</v>
      </c>
      <c r="H13" s="26"/>
    </row>
    <row r="14" spans="1:9" x14ac:dyDescent="0.35">
      <c r="A14" s="8" t="s">
        <v>67</v>
      </c>
      <c r="B14" s="8"/>
      <c r="C14" s="9" t="s">
        <v>68</v>
      </c>
      <c r="D14" s="9" t="s">
        <v>23</v>
      </c>
      <c r="E14" s="8">
        <v>5506439807</v>
      </c>
    </row>
    <row r="15" spans="1:9" x14ac:dyDescent="0.35">
      <c r="A15" s="8" t="s">
        <v>71</v>
      </c>
      <c r="B15" s="8"/>
      <c r="C15" s="9" t="s">
        <v>72</v>
      </c>
      <c r="D15" s="9" t="s">
        <v>14</v>
      </c>
      <c r="E15" s="8">
        <v>3565997600</v>
      </c>
    </row>
    <row r="16" spans="1:9" ht="15.5" x14ac:dyDescent="0.35">
      <c r="A16" s="8" t="s">
        <v>75</v>
      </c>
      <c r="B16" s="8"/>
      <c r="C16" s="9" t="s">
        <v>76</v>
      </c>
      <c r="D16" s="9" t="s">
        <v>23</v>
      </c>
      <c r="E16" s="8">
        <v>2685014153</v>
      </c>
      <c r="H16" s="4" t="s">
        <v>390</v>
      </c>
    </row>
    <row r="17" spans="1:11" ht="15.5" x14ac:dyDescent="0.35">
      <c r="A17" s="8" t="s">
        <v>79</v>
      </c>
      <c r="B17" s="8"/>
      <c r="C17" s="9" t="s">
        <v>80</v>
      </c>
      <c r="D17" s="9" t="s">
        <v>23</v>
      </c>
      <c r="E17" s="8">
        <v>8144007188</v>
      </c>
      <c r="H17" s="5" t="s">
        <v>2</v>
      </c>
      <c r="I17" s="5" t="s">
        <v>3</v>
      </c>
      <c r="J17" s="5" t="s">
        <v>4</v>
      </c>
      <c r="K17" s="4" t="s">
        <v>5</v>
      </c>
    </row>
    <row r="18" spans="1:11" x14ac:dyDescent="0.35">
      <c r="A18" s="8" t="s">
        <v>83</v>
      </c>
      <c r="B18" s="8"/>
      <c r="C18" s="9" t="s">
        <v>84</v>
      </c>
      <c r="D18" s="9" t="s">
        <v>14</v>
      </c>
      <c r="E18" s="8">
        <v>5451418853</v>
      </c>
      <c r="H18" s="8" t="s">
        <v>119</v>
      </c>
      <c r="I18" s="26">
        <f>INDEX($A$2:$E$82,MATCH($H$18,$A$2:$A$82,0),2)</f>
        <v>0</v>
      </c>
      <c r="J18" s="8" t="str">
        <f>INDEX($A$2:$E$82,MATCH($H$18,$A$2:$A$82,0),3)</f>
        <v>K. SANTOSHI</v>
      </c>
      <c r="K18" s="8" t="str">
        <f>INDEX($A$2:$E$82,MATCH($H$18,$A$2:$A$82,0),4)</f>
        <v>Full Stack</v>
      </c>
    </row>
    <row r="19" spans="1:11" x14ac:dyDescent="0.35">
      <c r="A19" s="8" t="s">
        <v>87</v>
      </c>
      <c r="B19" s="8"/>
      <c r="C19" s="9" t="s">
        <v>88</v>
      </c>
      <c r="D19" s="9" t="s">
        <v>23</v>
      </c>
      <c r="E19" s="8">
        <v>2352093828</v>
      </c>
      <c r="I19" s="36" t="str">
        <f>INDEX($A$2:$E$82,MATCH($H$18,$A$2:$A$82,0),MATCH($I$17,$A$1:$E$1,0))</f>
        <v>K. SANTOSHI</v>
      </c>
    </row>
    <row r="20" spans="1:11" x14ac:dyDescent="0.35">
      <c r="A20" s="8" t="s">
        <v>91</v>
      </c>
      <c r="B20" s="8"/>
      <c r="C20" s="9" t="s">
        <v>92</v>
      </c>
      <c r="D20" s="9" t="s">
        <v>23</v>
      </c>
      <c r="E20" s="8">
        <v>4851546652</v>
      </c>
    </row>
    <row r="21" spans="1:11" x14ac:dyDescent="0.35">
      <c r="A21" s="8" t="s">
        <v>95</v>
      </c>
      <c r="B21" s="8"/>
      <c r="C21" s="9" t="s">
        <v>96</v>
      </c>
      <c r="D21" s="9" t="s">
        <v>14</v>
      </c>
      <c r="E21" s="8">
        <v>6604423032</v>
      </c>
    </row>
    <row r="22" spans="1:11" ht="15.5" x14ac:dyDescent="0.35">
      <c r="A22" s="8" t="s">
        <v>99</v>
      </c>
      <c r="B22" s="8"/>
      <c r="C22" s="9" t="s">
        <v>100</v>
      </c>
      <c r="D22" s="9" t="s">
        <v>14</v>
      </c>
      <c r="E22" s="8">
        <v>4267924443</v>
      </c>
      <c r="H22" s="4" t="s">
        <v>390</v>
      </c>
    </row>
    <row r="23" spans="1:11" ht="15.5" x14ac:dyDescent="0.35">
      <c r="A23" s="8" t="s">
        <v>103</v>
      </c>
      <c r="B23" s="8"/>
      <c r="C23" s="9" t="s">
        <v>104</v>
      </c>
      <c r="D23" s="9" t="s">
        <v>23</v>
      </c>
      <c r="E23" s="8">
        <v>2776428499</v>
      </c>
      <c r="H23" s="5" t="s">
        <v>2</v>
      </c>
      <c r="I23" s="5" t="s">
        <v>3</v>
      </c>
      <c r="J23" s="5" t="s">
        <v>4</v>
      </c>
      <c r="K23" s="4" t="s">
        <v>5</v>
      </c>
    </row>
    <row r="24" spans="1:11" x14ac:dyDescent="0.35">
      <c r="A24" s="8" t="s">
        <v>107</v>
      </c>
      <c r="B24" s="8"/>
      <c r="C24" s="9" t="s">
        <v>108</v>
      </c>
      <c r="D24" s="9" t="s">
        <v>23</v>
      </c>
      <c r="E24" s="8">
        <v>2344591250</v>
      </c>
      <c r="H24" s="8" t="s">
        <v>229</v>
      </c>
      <c r="I24" s="26">
        <f>INDEX($A$2:$E$82,MATCH($H$24,$A$2:$A$82,0),2)</f>
        <v>0</v>
      </c>
      <c r="J24" s="26" t="str">
        <f>INDEX($A$2:$E$82,MATCH($H$24,$A$2:$A$82,0),3)</f>
        <v>SHOAIB AKHTAR</v>
      </c>
      <c r="K24" s="26" t="str">
        <f>INDEX($A$2:$E$82,MATCH($H$24,$A$2:$A$82,0),4)</f>
        <v>Full Stack</v>
      </c>
    </row>
    <row r="25" spans="1:11" x14ac:dyDescent="0.35">
      <c r="A25" s="8" t="s">
        <v>111</v>
      </c>
      <c r="B25" s="8"/>
      <c r="C25" s="9" t="s">
        <v>112</v>
      </c>
      <c r="D25" s="9" t="s">
        <v>23</v>
      </c>
      <c r="E25" s="8">
        <v>4564000793</v>
      </c>
      <c r="H25" s="8" t="s">
        <v>229</v>
      </c>
      <c r="I25" s="26" t="str">
        <f>INDEX($A$2:$E$82,MATCH($H25,$A$2:$A$82,0),MATCH(I$23,$A$1:$E$1,0))</f>
        <v>SHOAIB AKHTAR</v>
      </c>
      <c r="J25" s="26" t="str">
        <f>INDEX($A$2:$E$82,MATCH($H25,$A$2:$A$82,0),MATCH(J$23,$A$1:$E$1,0))</f>
        <v>Full Stack</v>
      </c>
      <c r="K25" s="26">
        <f>INDEX($A$2:$E$82,MATCH($H25,$A$2:$A$82,0),MATCH(K$23,$A$1:$E$1,0))</f>
        <v>7998839021</v>
      </c>
    </row>
    <row r="26" spans="1:11" x14ac:dyDescent="0.35">
      <c r="A26" s="8" t="s">
        <v>115</v>
      </c>
      <c r="B26" s="8"/>
      <c r="C26" s="9" t="s">
        <v>116</v>
      </c>
      <c r="D26" s="9" t="s">
        <v>23</v>
      </c>
      <c r="E26" s="8">
        <v>7831800139</v>
      </c>
      <c r="H26" s="8" t="s">
        <v>143</v>
      </c>
      <c r="I26" s="26" t="str">
        <f>INDEX($A$2:$E$82,MATCH($H26,$A$2:$A$82,0),MATCH(I$23,$A$1:$E$1,0))</f>
        <v>M. BALAJI</v>
      </c>
      <c r="J26" s="26" t="str">
        <f>INDEX($A$2:$E$82,MATCH($H26,$A$2:$A$82,0),MATCH(J$23,$A$1:$E$1,0))</f>
        <v>ITES</v>
      </c>
      <c r="K26" s="26">
        <f>INDEX($A$2:$E$82,MATCH($H26,$A$2:$A$82,0),MATCH(K$23,$A$1:$E$1,0))</f>
        <v>7375541777</v>
      </c>
    </row>
    <row r="27" spans="1:11" x14ac:dyDescent="0.35">
      <c r="A27" s="8" t="s">
        <v>119</v>
      </c>
      <c r="B27" s="8"/>
      <c r="C27" s="9" t="s">
        <v>120</v>
      </c>
      <c r="D27" s="9" t="s">
        <v>23</v>
      </c>
      <c r="E27" s="8">
        <v>1359937879</v>
      </c>
      <c r="H27" s="8" t="s">
        <v>99</v>
      </c>
      <c r="I27" s="26" t="str">
        <f>INDEX($A$2:$E$82,MATCH($H27,$A$2:$A$82,0),MATCH(I$23,$A$1:$E$1,0))</f>
        <v>GARAPATI GAYATHRI</v>
      </c>
      <c r="J27" s="26" t="str">
        <f>INDEX($A$2:$E$82,MATCH($H27,$A$2:$A$82,0),MATCH(J$23,$A$1:$E$1,0))</f>
        <v>ITES</v>
      </c>
      <c r="K27" s="26">
        <f>INDEX($A$2:$E$82,MATCH($H27,$A$2:$A$82,0),MATCH(K$23,$A$1:$E$1,0))</f>
        <v>4267924443</v>
      </c>
    </row>
    <row r="28" spans="1:11" x14ac:dyDescent="0.35">
      <c r="A28" s="8" t="s">
        <v>123</v>
      </c>
      <c r="B28" s="8"/>
      <c r="C28" s="9" t="s">
        <v>124</v>
      </c>
      <c r="D28" s="9" t="s">
        <v>14</v>
      </c>
      <c r="E28" s="8">
        <v>8357059907</v>
      </c>
    </row>
    <row r="29" spans="1:11" x14ac:dyDescent="0.35">
      <c r="A29" s="8" t="s">
        <v>127</v>
      </c>
      <c r="B29" s="8"/>
      <c r="C29" s="9" t="s">
        <v>128</v>
      </c>
      <c r="D29" s="9" t="s">
        <v>23</v>
      </c>
      <c r="E29" s="8">
        <v>8195300576</v>
      </c>
    </row>
    <row r="30" spans="1:11" x14ac:dyDescent="0.35">
      <c r="A30" s="8" t="s">
        <v>131</v>
      </c>
      <c r="B30" s="8"/>
      <c r="C30" s="9" t="s">
        <v>132</v>
      </c>
      <c r="D30" s="9" t="s">
        <v>23</v>
      </c>
      <c r="E30" s="8">
        <v>3908490120</v>
      </c>
    </row>
    <row r="31" spans="1:11" x14ac:dyDescent="0.35">
      <c r="A31" s="8" t="s">
        <v>135</v>
      </c>
      <c r="B31" s="8"/>
      <c r="C31" s="9" t="s">
        <v>136</v>
      </c>
      <c r="D31" s="9" t="s">
        <v>23</v>
      </c>
      <c r="E31" s="8">
        <v>6654686097</v>
      </c>
    </row>
    <row r="32" spans="1:11" x14ac:dyDescent="0.35">
      <c r="A32" s="8" t="s">
        <v>139</v>
      </c>
      <c r="B32" s="8"/>
      <c r="C32" s="9" t="s">
        <v>140</v>
      </c>
      <c r="D32" s="9" t="s">
        <v>23</v>
      </c>
      <c r="E32" s="8">
        <v>3176554504</v>
      </c>
    </row>
    <row r="33" spans="1:5" x14ac:dyDescent="0.35">
      <c r="A33" s="8" t="s">
        <v>143</v>
      </c>
      <c r="B33" s="8"/>
      <c r="C33" s="9" t="s">
        <v>144</v>
      </c>
      <c r="D33" s="9" t="s">
        <v>14</v>
      </c>
      <c r="E33" s="8">
        <v>7375541777</v>
      </c>
    </row>
    <row r="34" spans="1:5" x14ac:dyDescent="0.35">
      <c r="A34" s="8" t="s">
        <v>147</v>
      </c>
      <c r="B34" s="8"/>
      <c r="C34" s="9" t="s">
        <v>148</v>
      </c>
      <c r="D34" s="9" t="s">
        <v>14</v>
      </c>
      <c r="E34" s="8">
        <v>2307603936</v>
      </c>
    </row>
    <row r="35" spans="1:5" x14ac:dyDescent="0.35">
      <c r="A35" s="8" t="s">
        <v>150</v>
      </c>
      <c r="B35" s="8"/>
      <c r="C35" s="9" t="s">
        <v>151</v>
      </c>
      <c r="D35" s="9" t="s">
        <v>23</v>
      </c>
      <c r="E35" s="8">
        <v>7539961295</v>
      </c>
    </row>
    <row r="36" spans="1:5" x14ac:dyDescent="0.35">
      <c r="A36" s="8" t="s">
        <v>154</v>
      </c>
      <c r="B36" s="8"/>
      <c r="C36" s="9" t="s">
        <v>155</v>
      </c>
      <c r="D36" s="9" t="s">
        <v>23</v>
      </c>
      <c r="E36" s="8">
        <v>8714929594</v>
      </c>
    </row>
    <row r="37" spans="1:5" x14ac:dyDescent="0.35">
      <c r="A37" s="8" t="s">
        <v>158</v>
      </c>
      <c r="B37" s="8"/>
      <c r="C37" s="9" t="s">
        <v>159</v>
      </c>
      <c r="D37" s="9" t="s">
        <v>14</v>
      </c>
      <c r="E37" s="8">
        <v>6748495954</v>
      </c>
    </row>
    <row r="38" spans="1:5" x14ac:dyDescent="0.35">
      <c r="A38" s="8" t="s">
        <v>162</v>
      </c>
      <c r="B38" s="8"/>
      <c r="C38" s="9" t="s">
        <v>163</v>
      </c>
      <c r="D38" s="9" t="s">
        <v>23</v>
      </c>
      <c r="E38" s="8">
        <v>5598318903</v>
      </c>
    </row>
    <row r="39" spans="1:5" x14ac:dyDescent="0.35">
      <c r="A39" s="8" t="s">
        <v>166</v>
      </c>
      <c r="B39" s="8"/>
      <c r="C39" s="9" t="s">
        <v>167</v>
      </c>
      <c r="D39" s="9" t="s">
        <v>23</v>
      </c>
      <c r="E39" s="8">
        <v>5366755536</v>
      </c>
    </row>
    <row r="40" spans="1:5" x14ac:dyDescent="0.35">
      <c r="A40" s="8" t="s">
        <v>170</v>
      </c>
      <c r="B40" s="8"/>
      <c r="C40" s="9" t="s">
        <v>171</v>
      </c>
      <c r="D40" s="9" t="s">
        <v>14</v>
      </c>
      <c r="E40" s="8">
        <v>5685425899</v>
      </c>
    </row>
    <row r="41" spans="1:5" x14ac:dyDescent="0.35">
      <c r="A41" s="8" t="s">
        <v>174</v>
      </c>
      <c r="B41" s="8"/>
      <c r="C41" s="9" t="s">
        <v>175</v>
      </c>
      <c r="D41" s="9" t="s">
        <v>14</v>
      </c>
      <c r="E41" s="8">
        <v>8546891943</v>
      </c>
    </row>
    <row r="42" spans="1:5" x14ac:dyDescent="0.35">
      <c r="A42" s="8" t="s">
        <v>178</v>
      </c>
      <c r="B42" s="8"/>
      <c r="C42" s="9" t="s">
        <v>179</v>
      </c>
      <c r="D42" s="9" t="s">
        <v>14</v>
      </c>
      <c r="E42" s="8">
        <v>7905481507</v>
      </c>
    </row>
    <row r="43" spans="1:5" x14ac:dyDescent="0.35">
      <c r="A43" s="8" t="s">
        <v>182</v>
      </c>
      <c r="B43" s="8"/>
      <c r="C43" s="9" t="s">
        <v>183</v>
      </c>
      <c r="D43" s="9" t="s">
        <v>14</v>
      </c>
      <c r="E43" s="8">
        <v>5681445328</v>
      </c>
    </row>
    <row r="44" spans="1:5" x14ac:dyDescent="0.35">
      <c r="A44" s="8" t="s">
        <v>185</v>
      </c>
      <c r="B44" s="8"/>
      <c r="C44" s="9" t="s">
        <v>186</v>
      </c>
      <c r="D44" s="9" t="s">
        <v>23</v>
      </c>
      <c r="E44" s="8">
        <v>1576469041</v>
      </c>
    </row>
    <row r="45" spans="1:5" x14ac:dyDescent="0.35">
      <c r="A45" s="8" t="s">
        <v>189</v>
      </c>
      <c r="B45" s="8"/>
      <c r="C45" s="9" t="s">
        <v>190</v>
      </c>
      <c r="D45" s="9" t="s">
        <v>23</v>
      </c>
      <c r="E45" s="8">
        <v>7244391357</v>
      </c>
    </row>
    <row r="46" spans="1:5" x14ac:dyDescent="0.35">
      <c r="A46" s="8" t="s">
        <v>193</v>
      </c>
      <c r="B46" s="8"/>
      <c r="C46" s="9" t="s">
        <v>194</v>
      </c>
      <c r="D46" s="9" t="s">
        <v>23</v>
      </c>
      <c r="E46" s="8">
        <v>5713887644</v>
      </c>
    </row>
    <row r="47" spans="1:5" x14ac:dyDescent="0.35">
      <c r="A47" s="8" t="s">
        <v>197</v>
      </c>
      <c r="B47" s="8"/>
      <c r="C47" s="9" t="s">
        <v>198</v>
      </c>
      <c r="D47" s="9" t="s">
        <v>14</v>
      </c>
      <c r="E47" s="8">
        <v>4360003876</v>
      </c>
    </row>
    <row r="48" spans="1:5" x14ac:dyDescent="0.35">
      <c r="A48" s="8" t="s">
        <v>201</v>
      </c>
      <c r="B48" s="8"/>
      <c r="C48" s="9" t="s">
        <v>202</v>
      </c>
      <c r="D48" s="9" t="s">
        <v>23</v>
      </c>
      <c r="E48" s="8">
        <v>6232183694</v>
      </c>
    </row>
    <row r="49" spans="1:5" x14ac:dyDescent="0.35">
      <c r="A49" s="8" t="s">
        <v>205</v>
      </c>
      <c r="B49" s="8"/>
      <c r="C49" s="9" t="s">
        <v>206</v>
      </c>
      <c r="D49" s="9" t="s">
        <v>23</v>
      </c>
      <c r="E49" s="8">
        <v>6682877186</v>
      </c>
    </row>
    <row r="50" spans="1:5" x14ac:dyDescent="0.35">
      <c r="A50" s="8" t="s">
        <v>209</v>
      </c>
      <c r="B50" s="8"/>
      <c r="C50" s="9" t="s">
        <v>210</v>
      </c>
      <c r="D50" s="9" t="s">
        <v>14</v>
      </c>
      <c r="E50" s="8">
        <v>8911831176</v>
      </c>
    </row>
    <row r="51" spans="1:5" x14ac:dyDescent="0.35">
      <c r="A51" s="8" t="s">
        <v>213</v>
      </c>
      <c r="B51" s="8"/>
      <c r="C51" s="9" t="s">
        <v>214</v>
      </c>
      <c r="D51" s="9" t="s">
        <v>23</v>
      </c>
      <c r="E51" s="8">
        <v>5328455783</v>
      </c>
    </row>
    <row r="52" spans="1:5" x14ac:dyDescent="0.35">
      <c r="A52" s="8" t="s">
        <v>217</v>
      </c>
      <c r="B52" s="8"/>
      <c r="C52" s="9" t="s">
        <v>218</v>
      </c>
      <c r="D52" s="9" t="s">
        <v>14</v>
      </c>
      <c r="E52" s="8">
        <v>4825148027</v>
      </c>
    </row>
    <row r="53" spans="1:5" x14ac:dyDescent="0.35">
      <c r="A53" s="8" t="s">
        <v>221</v>
      </c>
      <c r="B53" s="8"/>
      <c r="C53" s="9" t="s">
        <v>222</v>
      </c>
      <c r="D53" s="9" t="s">
        <v>23</v>
      </c>
      <c r="E53" s="8">
        <v>3228331930</v>
      </c>
    </row>
    <row r="54" spans="1:5" x14ac:dyDescent="0.35">
      <c r="A54" s="8" t="s">
        <v>225</v>
      </c>
      <c r="B54" s="8"/>
      <c r="C54" s="9" t="s">
        <v>226</v>
      </c>
      <c r="D54" s="9" t="s">
        <v>23</v>
      </c>
      <c r="E54" s="8">
        <v>7158666834</v>
      </c>
    </row>
    <row r="55" spans="1:5" x14ac:dyDescent="0.35">
      <c r="A55" s="8" t="s">
        <v>229</v>
      </c>
      <c r="B55" s="8"/>
      <c r="C55" s="9" t="s">
        <v>230</v>
      </c>
      <c r="D55" s="9" t="s">
        <v>23</v>
      </c>
      <c r="E55" s="8">
        <v>7998839021</v>
      </c>
    </row>
    <row r="56" spans="1:5" x14ac:dyDescent="0.35">
      <c r="A56" s="8" t="s">
        <v>233</v>
      </c>
      <c r="B56" s="8"/>
      <c r="C56" s="9" t="s">
        <v>234</v>
      </c>
      <c r="D56" s="9" t="s">
        <v>23</v>
      </c>
      <c r="E56" s="8">
        <v>8550635195</v>
      </c>
    </row>
    <row r="57" spans="1:5" x14ac:dyDescent="0.35">
      <c r="A57" s="8" t="s">
        <v>237</v>
      </c>
      <c r="B57" s="8"/>
      <c r="C57" s="9" t="s">
        <v>238</v>
      </c>
      <c r="D57" s="9" t="s">
        <v>23</v>
      </c>
      <c r="E57" s="8">
        <v>8733465367</v>
      </c>
    </row>
    <row r="58" spans="1:5" x14ac:dyDescent="0.35">
      <c r="A58" s="8" t="s">
        <v>241</v>
      </c>
      <c r="B58" s="8"/>
      <c r="C58" s="9" t="s">
        <v>242</v>
      </c>
      <c r="D58" s="9" t="s">
        <v>14</v>
      </c>
      <c r="E58" s="8">
        <v>6153044829</v>
      </c>
    </row>
    <row r="59" spans="1:5" x14ac:dyDescent="0.35">
      <c r="A59" s="8" t="s">
        <v>245</v>
      </c>
      <c r="B59" s="8"/>
      <c r="C59" s="9" t="s">
        <v>246</v>
      </c>
      <c r="D59" s="9" t="s">
        <v>23</v>
      </c>
      <c r="E59" s="8">
        <v>4496254693</v>
      </c>
    </row>
    <row r="60" spans="1:5" x14ac:dyDescent="0.35">
      <c r="A60" s="8" t="s">
        <v>249</v>
      </c>
      <c r="B60" s="8"/>
      <c r="C60" s="9" t="s">
        <v>250</v>
      </c>
      <c r="D60" s="9" t="s">
        <v>23</v>
      </c>
      <c r="E60" s="8">
        <v>2881088394</v>
      </c>
    </row>
    <row r="61" spans="1:5" x14ac:dyDescent="0.35">
      <c r="A61" s="8" t="s">
        <v>252</v>
      </c>
      <c r="B61" s="8"/>
      <c r="C61" s="9" t="s">
        <v>253</v>
      </c>
      <c r="D61" s="9" t="s">
        <v>14</v>
      </c>
      <c r="E61" s="8">
        <v>3401449282</v>
      </c>
    </row>
    <row r="62" spans="1:5" x14ac:dyDescent="0.35">
      <c r="A62" s="8" t="s">
        <v>256</v>
      </c>
      <c r="B62" s="8"/>
      <c r="C62" s="9" t="s">
        <v>257</v>
      </c>
      <c r="D62" s="9" t="s">
        <v>23</v>
      </c>
      <c r="E62" s="8">
        <v>4405995363</v>
      </c>
    </row>
    <row r="63" spans="1:5" x14ac:dyDescent="0.35">
      <c r="A63" s="8" t="s">
        <v>260</v>
      </c>
      <c r="B63" s="8"/>
      <c r="C63" s="9" t="s">
        <v>261</v>
      </c>
      <c r="D63" s="9" t="s">
        <v>23</v>
      </c>
      <c r="E63" s="8">
        <v>2219599156</v>
      </c>
    </row>
    <row r="64" spans="1:5" x14ac:dyDescent="0.35">
      <c r="A64" s="8" t="s">
        <v>263</v>
      </c>
      <c r="B64" s="8"/>
      <c r="C64" s="9" t="s">
        <v>264</v>
      </c>
      <c r="D64" s="9" t="s">
        <v>14</v>
      </c>
      <c r="E64" s="8">
        <v>3482112190</v>
      </c>
    </row>
    <row r="65" spans="1:5" x14ac:dyDescent="0.35">
      <c r="A65" s="8" t="s">
        <v>267</v>
      </c>
      <c r="B65" s="8"/>
      <c r="C65" s="9" t="s">
        <v>268</v>
      </c>
      <c r="D65" s="9" t="s">
        <v>23</v>
      </c>
      <c r="E65" s="8">
        <v>8411360361</v>
      </c>
    </row>
    <row r="66" spans="1:5" ht="15.5" x14ac:dyDescent="0.35">
      <c r="A66" s="8" t="s">
        <v>271</v>
      </c>
      <c r="B66" s="8"/>
      <c r="C66" s="13" t="s">
        <v>272</v>
      </c>
      <c r="D66" s="13" t="s">
        <v>14</v>
      </c>
      <c r="E66" s="8">
        <v>2842414479</v>
      </c>
    </row>
    <row r="67" spans="1:5" ht="15.5" x14ac:dyDescent="0.35">
      <c r="A67" s="8" t="s">
        <v>275</v>
      </c>
      <c r="B67" s="8"/>
      <c r="C67" s="13" t="s">
        <v>276</v>
      </c>
      <c r="D67" s="13" t="s">
        <v>23</v>
      </c>
      <c r="E67" s="8">
        <v>5876113945</v>
      </c>
    </row>
    <row r="68" spans="1:5" ht="15.5" x14ac:dyDescent="0.35">
      <c r="A68" s="8" t="s">
        <v>279</v>
      </c>
      <c r="B68" s="8"/>
      <c r="C68" s="13" t="s">
        <v>280</v>
      </c>
      <c r="D68" s="13" t="s">
        <v>23</v>
      </c>
      <c r="E68" s="8">
        <v>4273126076</v>
      </c>
    </row>
    <row r="69" spans="1:5" ht="15.5" x14ac:dyDescent="0.35">
      <c r="A69" s="8" t="s">
        <v>283</v>
      </c>
      <c r="B69" s="8"/>
      <c r="C69" s="13" t="s">
        <v>284</v>
      </c>
      <c r="D69" s="13" t="s">
        <v>23</v>
      </c>
      <c r="E69" s="8">
        <v>8077085042</v>
      </c>
    </row>
    <row r="70" spans="1:5" ht="15.5" x14ac:dyDescent="0.35">
      <c r="A70" s="8" t="s">
        <v>287</v>
      </c>
      <c r="B70" s="8"/>
      <c r="C70" s="13" t="s">
        <v>288</v>
      </c>
      <c r="D70" s="13" t="s">
        <v>14</v>
      </c>
      <c r="E70" s="8">
        <v>8112643867</v>
      </c>
    </row>
    <row r="71" spans="1:5" ht="15.5" x14ac:dyDescent="0.35">
      <c r="A71" s="8" t="s">
        <v>290</v>
      </c>
      <c r="B71" s="8"/>
      <c r="C71" s="13" t="s">
        <v>291</v>
      </c>
      <c r="D71" s="13" t="s">
        <v>23</v>
      </c>
      <c r="E71" s="8">
        <v>3685782386</v>
      </c>
    </row>
    <row r="72" spans="1:5" ht="15.5" x14ac:dyDescent="0.35">
      <c r="A72" s="8" t="s">
        <v>293</v>
      </c>
      <c r="B72" s="8"/>
      <c r="C72" s="13" t="s">
        <v>294</v>
      </c>
      <c r="D72" s="13" t="s">
        <v>23</v>
      </c>
      <c r="E72" s="8">
        <v>6205596324</v>
      </c>
    </row>
    <row r="73" spans="1:5" ht="15.5" x14ac:dyDescent="0.35">
      <c r="A73" s="8" t="s">
        <v>297</v>
      </c>
      <c r="B73" s="8"/>
      <c r="C73" s="13" t="s">
        <v>298</v>
      </c>
      <c r="D73" s="13" t="s">
        <v>14</v>
      </c>
      <c r="E73" s="8">
        <v>6578497608</v>
      </c>
    </row>
    <row r="74" spans="1:5" ht="15.5" x14ac:dyDescent="0.35">
      <c r="A74" s="8" t="s">
        <v>301</v>
      </c>
      <c r="B74" s="8"/>
      <c r="C74" s="13" t="s">
        <v>302</v>
      </c>
      <c r="D74" s="13" t="s">
        <v>23</v>
      </c>
      <c r="E74" s="8">
        <v>2602080020</v>
      </c>
    </row>
    <row r="75" spans="1:5" ht="15.5" x14ac:dyDescent="0.35">
      <c r="A75" s="8" t="s">
        <v>305</v>
      </c>
      <c r="B75" s="8"/>
      <c r="C75" s="13" t="s">
        <v>306</v>
      </c>
      <c r="D75" s="13" t="s">
        <v>14</v>
      </c>
      <c r="E75" s="8">
        <v>8796416295</v>
      </c>
    </row>
    <row r="76" spans="1:5" ht="15.5" x14ac:dyDescent="0.35">
      <c r="A76" s="8" t="s">
        <v>309</v>
      </c>
      <c r="B76" s="8"/>
      <c r="C76" s="13" t="s">
        <v>310</v>
      </c>
      <c r="D76" s="13" t="s">
        <v>14</v>
      </c>
      <c r="E76" s="8">
        <v>5978571640</v>
      </c>
    </row>
    <row r="77" spans="1:5" ht="15.5" x14ac:dyDescent="0.35">
      <c r="A77" s="8" t="s">
        <v>313</v>
      </c>
      <c r="B77" s="8"/>
      <c r="C77" s="13" t="s">
        <v>314</v>
      </c>
      <c r="D77" s="13" t="s">
        <v>23</v>
      </c>
      <c r="E77" s="8">
        <v>5716170881</v>
      </c>
    </row>
    <row r="78" spans="1:5" ht="15.5" x14ac:dyDescent="0.35">
      <c r="A78" s="8" t="s">
        <v>317</v>
      </c>
      <c r="B78" s="8"/>
      <c r="C78" s="13" t="s">
        <v>318</v>
      </c>
      <c r="D78" s="13" t="s">
        <v>23</v>
      </c>
      <c r="E78" s="8">
        <v>6927479136</v>
      </c>
    </row>
    <row r="79" spans="1:5" x14ac:dyDescent="0.35">
      <c r="A79" s="8" t="s">
        <v>321</v>
      </c>
      <c r="B79" s="8"/>
      <c r="C79" s="9" t="s">
        <v>322</v>
      </c>
      <c r="D79" s="9" t="s">
        <v>23</v>
      </c>
      <c r="E79" s="8">
        <v>8625176197</v>
      </c>
    </row>
    <row r="80" spans="1:5" x14ac:dyDescent="0.35">
      <c r="A80" s="8" t="s">
        <v>324</v>
      </c>
      <c r="B80" s="8"/>
      <c r="C80" s="9" t="s">
        <v>325</v>
      </c>
      <c r="D80" s="9" t="s">
        <v>23</v>
      </c>
      <c r="E80" s="8">
        <v>3221738150</v>
      </c>
    </row>
    <row r="81" spans="1:5" x14ac:dyDescent="0.35">
      <c r="A81" s="8" t="s">
        <v>327</v>
      </c>
      <c r="B81" s="8"/>
      <c r="C81" s="9" t="s">
        <v>328</v>
      </c>
      <c r="D81" s="9" t="s">
        <v>23</v>
      </c>
      <c r="E81" s="8">
        <v>2217423855</v>
      </c>
    </row>
    <row r="82" spans="1:5" x14ac:dyDescent="0.35">
      <c r="A82" s="3">
        <v>123</v>
      </c>
      <c r="B82" s="3"/>
      <c r="C82" s="3"/>
      <c r="D82" s="3"/>
      <c r="E82" s="2"/>
    </row>
    <row r="83" spans="1:5" x14ac:dyDescent="0.35">
      <c r="A83" s="3"/>
      <c r="B83" s="3"/>
      <c r="C83" s="3"/>
      <c r="D83" s="3"/>
      <c r="E83" s="2"/>
    </row>
    <row r="84" spans="1:5" x14ac:dyDescent="0.35">
      <c r="A84" s="3"/>
      <c r="B84" s="3"/>
      <c r="C84" s="3"/>
      <c r="D84" s="3"/>
      <c r="E84" s="2"/>
    </row>
    <row r="85" spans="1:5" x14ac:dyDescent="0.35">
      <c r="A85" s="3"/>
      <c r="B85" s="3"/>
      <c r="C85" s="3"/>
      <c r="D85" s="3"/>
      <c r="E85" s="2"/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2A68-6E14-400A-9629-43FA86580504}">
  <dimension ref="B2:AB7"/>
  <sheetViews>
    <sheetView showGridLines="0" workbookViewId="0">
      <selection activeCell="K15" sqref="K15"/>
    </sheetView>
  </sheetViews>
  <sheetFormatPr defaultRowHeight="14.5" x14ac:dyDescent="0.35"/>
  <cols>
    <col min="1" max="1" width="8.7265625" style="26"/>
    <col min="2" max="2" width="12" style="26" bestFit="1" customWidth="1"/>
    <col min="3" max="3" width="18.36328125" style="26" bestFit="1" customWidth="1"/>
    <col min="4" max="4" width="12.26953125" style="26" bestFit="1" customWidth="1"/>
    <col min="5" max="5" width="13.54296875" style="26" bestFit="1" customWidth="1"/>
    <col min="6" max="6" width="12" style="26" bestFit="1" customWidth="1"/>
    <col min="7" max="7" width="14.36328125" style="26" bestFit="1" customWidth="1"/>
    <col min="8" max="8" width="11.1796875" style="26" bestFit="1" customWidth="1"/>
    <col min="9" max="9" width="8.36328125" style="26" bestFit="1" customWidth="1"/>
    <col min="10" max="10" width="10.81640625" style="26" bestFit="1" customWidth="1"/>
    <col min="11" max="11" width="11.81640625" style="26" bestFit="1" customWidth="1"/>
    <col min="12" max="12" width="23" style="26" bestFit="1" customWidth="1"/>
    <col min="13" max="13" width="13.6328125" style="26" bestFit="1" customWidth="1"/>
    <col min="14" max="14" width="18.1796875" style="26" bestFit="1" customWidth="1"/>
    <col min="15" max="15" width="9.1796875" style="26" bestFit="1" customWidth="1"/>
    <col min="16" max="16" width="11.54296875" style="26" bestFit="1" customWidth="1"/>
    <col min="17" max="17" width="12.08984375" style="26" bestFit="1" customWidth="1"/>
    <col min="18" max="18" width="16.6328125" style="26" bestFit="1" customWidth="1"/>
    <col min="19" max="19" width="10.453125" style="26" bestFit="1" customWidth="1"/>
    <col min="20" max="20" width="12.90625" style="26" bestFit="1" customWidth="1"/>
    <col min="21" max="22" width="8.1796875" style="26" bestFit="1" customWidth="1"/>
    <col min="23" max="23" width="6.54296875" style="26" bestFit="1" customWidth="1"/>
    <col min="24" max="24" width="10.54296875" style="26" bestFit="1" customWidth="1"/>
    <col min="25" max="25" width="9.453125" style="26" bestFit="1" customWidth="1"/>
    <col min="26" max="26" width="19.26953125" style="26" bestFit="1" customWidth="1"/>
    <col min="27" max="27" width="13.54296875" style="26" bestFit="1" customWidth="1"/>
    <col min="28" max="28" width="15.90625" style="26" bestFit="1" customWidth="1"/>
    <col min="29" max="16384" width="8.7265625" style="26"/>
  </cols>
  <sheetData>
    <row r="2" spans="2:28" x14ac:dyDescent="0.35">
      <c r="B2" s="26" t="s">
        <v>334</v>
      </c>
      <c r="C2" s="26" t="s">
        <v>391</v>
      </c>
      <c r="D2" s="26" t="s">
        <v>392</v>
      </c>
      <c r="E2" s="26" t="s">
        <v>393</v>
      </c>
    </row>
    <row r="3" spans="2:28" x14ac:dyDescent="0.35">
      <c r="B3" s="26" t="s">
        <v>376</v>
      </c>
      <c r="C3" s="26" t="s">
        <v>377</v>
      </c>
      <c r="D3" s="26">
        <v>96</v>
      </c>
      <c r="E3" s="26">
        <v>5</v>
      </c>
    </row>
    <row r="6" spans="2:28" x14ac:dyDescent="0.35">
      <c r="B6" s="26" t="s">
        <v>334</v>
      </c>
      <c r="C6" s="26" t="s">
        <v>335</v>
      </c>
      <c r="D6" s="26" t="s">
        <v>394</v>
      </c>
      <c r="E6" s="26" t="s">
        <v>395</v>
      </c>
      <c r="F6" s="26" t="s">
        <v>396</v>
      </c>
      <c r="G6" s="26" t="s">
        <v>397</v>
      </c>
      <c r="H6" s="26" t="s">
        <v>398</v>
      </c>
      <c r="I6" s="26" t="s">
        <v>399</v>
      </c>
      <c r="J6" s="26" t="s">
        <v>400</v>
      </c>
      <c r="K6" s="26" t="s">
        <v>401</v>
      </c>
      <c r="L6" s="26" t="s">
        <v>402</v>
      </c>
      <c r="M6" s="26" t="s">
        <v>403</v>
      </c>
      <c r="N6" s="26" t="s">
        <v>404</v>
      </c>
      <c r="O6" s="26" t="s">
        <v>405</v>
      </c>
      <c r="P6" s="26" t="s">
        <v>406</v>
      </c>
      <c r="Q6" s="26" t="s">
        <v>407</v>
      </c>
      <c r="R6" s="26" t="s">
        <v>408</v>
      </c>
      <c r="S6" s="26" t="s">
        <v>409</v>
      </c>
      <c r="T6" s="26" t="s">
        <v>410</v>
      </c>
      <c r="U6" s="26" t="s">
        <v>411</v>
      </c>
      <c r="V6" s="26" t="s">
        <v>412</v>
      </c>
      <c r="W6" s="26" t="s">
        <v>413</v>
      </c>
      <c r="X6" s="26" t="s">
        <v>414</v>
      </c>
      <c r="Y6" s="26" t="s">
        <v>415</v>
      </c>
      <c r="Z6" s="26" t="s">
        <v>416</v>
      </c>
      <c r="AA6" s="26" t="s">
        <v>393</v>
      </c>
      <c r="AB6" s="26" t="s">
        <v>417</v>
      </c>
    </row>
    <row r="7" spans="2:28" x14ac:dyDescent="0.35">
      <c r="B7" s="26" t="s">
        <v>376</v>
      </c>
      <c r="C7" s="26" t="s">
        <v>377</v>
      </c>
      <c r="D7" s="26" t="s">
        <v>418</v>
      </c>
      <c r="E7" s="26" t="s">
        <v>419</v>
      </c>
      <c r="F7" s="26" t="s">
        <v>420</v>
      </c>
      <c r="G7" s="26" t="s">
        <v>421</v>
      </c>
      <c r="H7" s="26" t="s">
        <v>422</v>
      </c>
      <c r="I7" s="26" t="s">
        <v>423</v>
      </c>
      <c r="J7" s="26" t="s">
        <v>424</v>
      </c>
      <c r="K7" s="26">
        <v>96</v>
      </c>
      <c r="L7" s="26">
        <v>21</v>
      </c>
      <c r="M7" s="26">
        <v>90</v>
      </c>
      <c r="N7" s="26">
        <v>100</v>
      </c>
      <c r="O7" s="26">
        <v>2</v>
      </c>
      <c r="P7" s="26">
        <v>2</v>
      </c>
      <c r="Q7" s="26">
        <v>94</v>
      </c>
      <c r="R7" s="26">
        <v>100</v>
      </c>
      <c r="S7" s="26">
        <v>2</v>
      </c>
      <c r="T7" s="26">
        <v>2</v>
      </c>
      <c r="U7" s="26">
        <v>0</v>
      </c>
      <c r="V7" s="26">
        <v>0</v>
      </c>
      <c r="W7" s="26">
        <v>0</v>
      </c>
      <c r="X7" s="26">
        <v>0</v>
      </c>
      <c r="Y7" s="26">
        <v>98</v>
      </c>
      <c r="Z7" s="26">
        <v>100</v>
      </c>
      <c r="AA7" s="26">
        <v>5</v>
      </c>
      <c r="AB7" s="26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RawData</vt:lpstr>
      <vt:lpstr>Vlookup</vt:lpstr>
      <vt:lpstr>VData</vt:lpstr>
      <vt:lpstr>VResult</vt:lpstr>
      <vt:lpstr>VMatch</vt:lpstr>
      <vt:lpstr>HData</vt:lpstr>
      <vt:lpstr>HResult</vt:lpstr>
      <vt:lpstr>Liminations</vt:lpstr>
      <vt:lpstr>IndexAndMatch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2026-05-14T08:41:28Z</dcterms:created>
  <dcterms:modified xsi:type="dcterms:W3CDTF">2026-05-18T09:38:12Z</dcterms:modified>
</cp:coreProperties>
</file>