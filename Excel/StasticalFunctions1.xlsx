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1_AF\ANP-D6211\Excel\"/>
    </mc:Choice>
  </mc:AlternateContent>
  <xr:revisionPtr revIDLastSave="0" documentId="13_ncr:1_{8380CB9E-FCEA-44CF-85BE-4ABBC24F3A7B}" xr6:coauthVersionLast="37" xr6:coauthVersionMax="37" xr10:uidLastSave="{00000000-0000-0000-0000-000000000000}"/>
  <bookViews>
    <workbookView xWindow="0" yWindow="0" windowWidth="7680" windowHeight="10930" activeTab="1" xr2:uid="{D4213206-02E2-40C9-BF57-AE4CDB31715B}"/>
  </bookViews>
  <sheets>
    <sheet name="SUM|SUMIF|SUMIFS" sheetId="1" r:id="rId1"/>
    <sheet name="Sheet2" sheetId="2" r:id="rId2"/>
  </sheets>
  <definedNames>
    <definedName name="Division1">'SUM|SUMIF|SUMIFS'!$C$2:$C$11</definedName>
    <definedName name="DOJ1_">'SUM|SUMIF|SUMIFS'!$B$2:$B$11</definedName>
    <definedName name="Fruits1">Sheet2!$A$2:$A$11</definedName>
    <definedName name="Name1">'SUM|SUMIF|SUMIFS'!$A$2:$A$11</definedName>
    <definedName name="Quantity1">Sheet2!$B$2:$B$11</definedName>
    <definedName name="Salary1">'SUM|SUMIF|SUMIFS'!$D$2:$D$11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9" i="2" l="1"/>
  <c r="E7" i="2"/>
  <c r="F3" i="2"/>
  <c r="F5" i="2"/>
  <c r="E5" i="2"/>
  <c r="E3" i="2"/>
  <c r="G10" i="1"/>
  <c r="G12" i="1"/>
  <c r="G8" i="1"/>
  <c r="G6" i="1"/>
</calcChain>
</file>

<file path=xl/sharedStrings.xml><?xml version="1.0" encoding="utf-8"?>
<sst xmlns="http://schemas.openxmlformats.org/spreadsheetml/2006/main" count="44" uniqueCount="33">
  <si>
    <t>Name1</t>
  </si>
  <si>
    <t>DOJ1</t>
  </si>
  <si>
    <t>Division1</t>
  </si>
  <si>
    <t>Salary1</t>
  </si>
  <si>
    <t>Aman Singh</t>
  </si>
  <si>
    <t>Admin</t>
  </si>
  <si>
    <t>Suprabh roshan</t>
  </si>
  <si>
    <t>Uttam Singh</t>
  </si>
  <si>
    <t>Finance</t>
  </si>
  <si>
    <t>Anand Mangnale</t>
  </si>
  <si>
    <t>Bhalerao</t>
  </si>
  <si>
    <t>Healthcare</t>
  </si>
  <si>
    <t>Rajesh Kumar</t>
  </si>
  <si>
    <t>Rahul Singh</t>
  </si>
  <si>
    <t>HR</t>
  </si>
  <si>
    <t>Sanjay Raut</t>
  </si>
  <si>
    <t>Manish Pandey</t>
  </si>
  <si>
    <t>Pravin Singh</t>
  </si>
  <si>
    <t>Marketing</t>
  </si>
  <si>
    <t>Total Salary</t>
  </si>
  <si>
    <t>Total Salary Which is greter then 20000</t>
  </si>
  <si>
    <t>Total Salary of the Admin</t>
  </si>
  <si>
    <t>Total Salary of Hr Department and salary should be greter than 20000</t>
  </si>
  <si>
    <t>Fruits1</t>
  </si>
  <si>
    <t>Quantity1</t>
  </si>
  <si>
    <t>Apples</t>
  </si>
  <si>
    <t>Banana</t>
  </si>
  <si>
    <t>Coconut</t>
  </si>
  <si>
    <t>Oranges</t>
  </si>
  <si>
    <t>Count the Quantity</t>
  </si>
  <si>
    <t>Count the Fruits</t>
  </si>
  <si>
    <t>Count The Quantity &gt; 50</t>
  </si>
  <si>
    <t>Count the quantity between 60 and 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</si>
</sst>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0"/>
      <name val="Segoe UI"/>
      <family val="2"/>
    </font>
    <font>
      <sz val="12"/>
      <color theme="1"/>
      <name val="Segoe UI"/>
      <family val="2"/>
    </font>
    <font>
      <sz val="10"/>
      <name val="Arial"/>
      <family val="2"/>
    </font>
    <font>
      <sz val="12"/>
      <name val="Segoe UI"/>
      <family val="2"/>
    </font>
    <font>
      <b/>
      <sz val="12"/>
      <color theme="0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</patternFill>
    </fill>
    <fill>
      <patternFill patternType="solid">
        <fgColor rgb="FF002060"/>
        <bgColor indexed="64"/>
      </patternFill>
    </fill>
    <fill>
      <patternFill patternType="solid">
        <fgColor rgb="FF7030A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16">
    <xf numFmtId="0" fontId="0" fillId="0" borderId="0" xfId="0"/>
    <xf numFmtId="0" fontId="3" fillId="3" borderId="1" xfId="2" applyFont="1" applyFill="1" applyBorder="1" applyAlignment="1">
      <alignment horizontal="center" vertical="center"/>
    </xf>
    <xf numFmtId="0" fontId="4" fillId="0" borderId="1" xfId="0" applyFont="1" applyBorder="1" applyAlignment="1"/>
    <xf numFmtId="15" fontId="4" fillId="0" borderId="1" xfId="0" applyNumberFormat="1" applyFont="1" applyBorder="1" applyAlignment="1">
      <alignment horizontal="center"/>
    </xf>
    <xf numFmtId="43" fontId="6" fillId="0" borderId="1" xfId="3" applyFont="1" applyBorder="1" applyAlignment="1" applyProtection="1">
      <alignment horizontal="center" vertical="top"/>
    </xf>
    <xf numFmtId="0" fontId="6" fillId="0" borderId="1" xfId="4" applyNumberFormat="1" applyFont="1" applyBorder="1" applyAlignment="1" applyProtection="1">
      <alignment horizontal="center" vertical="top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9" fontId="0" fillId="0" borderId="0" xfId="1" applyFont="1" applyAlignment="1">
      <alignment horizontal="center" vertical="center"/>
    </xf>
    <xf numFmtId="0" fontId="2" fillId="4" borderId="1" xfId="0" applyFont="1" applyFill="1" applyBorder="1"/>
    <xf numFmtId="0" fontId="2" fillId="4" borderId="1" xfId="0" applyFont="1" applyFill="1" applyBorder="1" applyAlignment="1">
      <alignment horizontal="center" vertical="center"/>
    </xf>
    <xf numFmtId="0" fontId="7" fillId="3" borderId="0" xfId="2" applyFont="1" applyFill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</cellXfs>
  <cellStyles count="5">
    <cellStyle name="Accent5" xfId="2" builtinId="45"/>
    <cellStyle name="Comma 2" xfId="4" xr:uid="{5948AE31-775D-40E6-9517-4A714D325B7B}"/>
    <cellStyle name="Comma 4 2" xfId="3" xr:uid="{61EE0311-9A95-4204-9EEE-9E0A8CE763C7}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4626A-17DB-48E8-9018-A0E6F8D7A325}">
  <dimension ref="A1:I12"/>
  <sheetViews>
    <sheetView showGridLines="0" workbookViewId="0">
      <selection activeCell="G12" sqref="G12"/>
    </sheetView>
  </sheetViews>
  <sheetFormatPr defaultRowHeight="14.5" x14ac:dyDescent="0.35"/>
  <cols>
    <col min="1" max="1" width="23.08984375" customWidth="1"/>
    <col min="2" max="2" width="15.26953125" customWidth="1"/>
    <col min="3" max="3" width="16.1796875" customWidth="1"/>
    <col min="4" max="4" width="14.90625" customWidth="1"/>
    <col min="6" max="6" width="61.36328125" customWidth="1"/>
    <col min="7" max="7" width="19.1796875" customWidth="1"/>
    <col min="8" max="8" width="17.08984375" customWidth="1"/>
  </cols>
  <sheetData>
    <row r="1" spans="1:9" ht="17.5" x14ac:dyDescent="0.35">
      <c r="A1" s="1" t="s">
        <v>0</v>
      </c>
      <c r="B1" s="1" t="s">
        <v>1</v>
      </c>
      <c r="C1" s="1" t="s">
        <v>2</v>
      </c>
      <c r="D1" s="1" t="s">
        <v>3</v>
      </c>
    </row>
    <row r="2" spans="1:9" ht="17.5" x14ac:dyDescent="0.45">
      <c r="A2" s="2" t="s">
        <v>4</v>
      </c>
      <c r="B2" s="3">
        <v>44442</v>
      </c>
      <c r="C2" s="4" t="s">
        <v>5</v>
      </c>
      <c r="D2" s="5">
        <v>15000</v>
      </c>
    </row>
    <row r="3" spans="1:9" ht="17.5" x14ac:dyDescent="0.45">
      <c r="A3" s="2" t="s">
        <v>6</v>
      </c>
      <c r="B3" s="3">
        <v>43906</v>
      </c>
      <c r="C3" s="4" t="s">
        <v>5</v>
      </c>
      <c r="D3" s="5">
        <v>21000</v>
      </c>
    </row>
    <row r="4" spans="1:9" ht="17.5" x14ac:dyDescent="0.45">
      <c r="A4" s="2" t="s">
        <v>7</v>
      </c>
      <c r="B4" s="3">
        <v>44485</v>
      </c>
      <c r="C4" s="4" t="s">
        <v>8</v>
      </c>
      <c r="D4" s="5">
        <v>14000</v>
      </c>
    </row>
    <row r="5" spans="1:9" ht="17.5" x14ac:dyDescent="0.45">
      <c r="A5" s="2" t="s">
        <v>9</v>
      </c>
      <c r="B5" s="3">
        <v>44298</v>
      </c>
      <c r="C5" s="4" t="s">
        <v>8</v>
      </c>
      <c r="D5" s="5">
        <v>30000</v>
      </c>
    </row>
    <row r="6" spans="1:9" ht="17.5" x14ac:dyDescent="0.45">
      <c r="A6" s="2" t="s">
        <v>10</v>
      </c>
      <c r="B6" s="3">
        <v>43890</v>
      </c>
      <c r="C6" s="4" t="s">
        <v>11</v>
      </c>
      <c r="D6" s="5">
        <v>17000</v>
      </c>
      <c r="F6" s="11" t="s">
        <v>19</v>
      </c>
      <c r="G6" s="7">
        <f>SUM(Salary1)</f>
        <v>233000</v>
      </c>
      <c r="I6" s="10"/>
    </row>
    <row r="7" spans="1:9" ht="17.5" x14ac:dyDescent="0.45">
      <c r="A7" s="2" t="s">
        <v>12</v>
      </c>
      <c r="B7" s="3">
        <v>44051</v>
      </c>
      <c r="C7" s="4" t="s">
        <v>11</v>
      </c>
      <c r="D7" s="5">
        <v>25000</v>
      </c>
      <c r="G7" s="8"/>
    </row>
    <row r="8" spans="1:9" ht="17.5" x14ac:dyDescent="0.45">
      <c r="A8" s="2" t="s">
        <v>13</v>
      </c>
      <c r="B8" s="3">
        <v>43863</v>
      </c>
      <c r="C8" s="4" t="s">
        <v>14</v>
      </c>
      <c r="D8" s="5">
        <v>50000</v>
      </c>
      <c r="F8" s="11" t="s">
        <v>20</v>
      </c>
      <c r="G8" s="7">
        <f>SUMIF(Salary1,"&gt;20000",Salary1)</f>
        <v>154000</v>
      </c>
    </row>
    <row r="9" spans="1:9" ht="17.5" x14ac:dyDescent="0.45">
      <c r="A9" s="2" t="s">
        <v>15</v>
      </c>
      <c r="B9" s="3">
        <v>44461</v>
      </c>
      <c r="C9" s="4" t="s">
        <v>14</v>
      </c>
      <c r="D9" s="5">
        <v>28000</v>
      </c>
    </row>
    <row r="10" spans="1:9" ht="17.5" x14ac:dyDescent="0.45">
      <c r="A10" s="2" t="s">
        <v>16</v>
      </c>
      <c r="B10" s="3">
        <v>44491</v>
      </c>
      <c r="C10" s="4" t="s">
        <v>14</v>
      </c>
      <c r="D10" s="5">
        <v>19000</v>
      </c>
      <c r="F10" s="11" t="s">
        <v>21</v>
      </c>
      <c r="G10" s="7">
        <f>SUMIF(Division1,"Admin",Salary1)</f>
        <v>36000</v>
      </c>
    </row>
    <row r="11" spans="1:9" ht="17.5" x14ac:dyDescent="0.45">
      <c r="A11" s="2" t="s">
        <v>17</v>
      </c>
      <c r="B11" s="3">
        <v>44313</v>
      </c>
      <c r="C11" s="4" t="s">
        <v>18</v>
      </c>
      <c r="D11" s="5">
        <v>14000</v>
      </c>
    </row>
    <row r="12" spans="1:9" ht="19.5" customHeight="1" x14ac:dyDescent="0.35">
      <c r="F12" s="12" t="s">
        <v>22</v>
      </c>
      <c r="G12" s="9">
        <f>SUMIFS(Salary1,Division1,"HR",Salary1,"&gt;20000")</f>
        <v>78000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BA2AF-D1A2-42DC-98BA-BB0109C8AB28}">
  <dimension ref="A1:F11"/>
  <sheetViews>
    <sheetView showGridLines="0" tabSelected="1" workbookViewId="0">
      <selection activeCell="D4" sqref="D4:F9"/>
    </sheetView>
  </sheetViews>
  <sheetFormatPr defaultRowHeight="14.5" x14ac:dyDescent="0.35"/>
  <cols>
    <col min="1" max="1" width="16.90625" customWidth="1"/>
    <col min="2" max="2" width="15.26953125" customWidth="1"/>
    <col min="4" max="4" width="36.1796875" customWidth="1"/>
    <col min="5" max="5" width="9.54296875" customWidth="1"/>
    <col min="6" max="6" width="11.26953125" customWidth="1"/>
  </cols>
  <sheetData>
    <row r="1" spans="1:6" ht="17.5" x14ac:dyDescent="0.35">
      <c r="A1" s="13" t="s">
        <v>23</v>
      </c>
      <c r="B1" s="13" t="s">
        <v>24</v>
      </c>
    </row>
    <row r="2" spans="1:6" ht="17.5" x14ac:dyDescent="0.45">
      <c r="A2" s="2" t="s">
        <v>25</v>
      </c>
      <c r="B2" s="14">
        <v>99</v>
      </c>
    </row>
    <row r="3" spans="1:6" ht="17.5" x14ac:dyDescent="0.45">
      <c r="A3" s="2" t="s">
        <v>26</v>
      </c>
      <c r="B3" s="14">
        <v>80</v>
      </c>
      <c r="D3" s="6" t="s">
        <v>29</v>
      </c>
      <c r="E3" s="9">
        <f>COUNT(Quantity1)</f>
        <v>10</v>
      </c>
      <c r="F3" s="9">
        <f>COUNTA(Quantity1)</f>
        <v>10</v>
      </c>
    </row>
    <row r="4" spans="1:6" ht="17.5" x14ac:dyDescent="0.45">
      <c r="A4" s="2" t="s">
        <v>26</v>
      </c>
      <c r="B4" s="14">
        <v>76</v>
      </c>
    </row>
    <row r="5" spans="1:6" ht="17.5" x14ac:dyDescent="0.45">
      <c r="A5" s="2" t="s">
        <v>27</v>
      </c>
      <c r="B5" s="14">
        <v>76</v>
      </c>
      <c r="D5" s="6" t="s">
        <v>30</v>
      </c>
      <c r="E5" s="7">
        <f>COUNT(Fruits1)</f>
        <v>0</v>
      </c>
      <c r="F5" s="7">
        <f>COUNTA(Fruits1)</f>
        <v>10</v>
      </c>
    </row>
    <row r="6" spans="1:6" ht="17.5" x14ac:dyDescent="0.45">
      <c r="A6" s="2" t="s">
        <v>25</v>
      </c>
      <c r="B6" s="15">
        <v>68</v>
      </c>
    </row>
    <row r="7" spans="1:6" ht="17.5" x14ac:dyDescent="0.45">
      <c r="A7" s="2" t="s">
        <v>28</v>
      </c>
      <c r="B7" s="15">
        <v>49</v>
      </c>
      <c r="D7" s="6" t="s">
        <v>31</v>
      </c>
      <c r="E7" s="9">
        <f>COUNTIF(Quantity1,"&gt;50")</f>
        <v>7</v>
      </c>
    </row>
    <row r="8" spans="1:6" ht="17.5" x14ac:dyDescent="0.45">
      <c r="A8" s="2" t="s">
        <v>25</v>
      </c>
      <c r="B8" s="14">
        <v>48</v>
      </c>
    </row>
    <row r="9" spans="1:6" ht="17.5" x14ac:dyDescent="0.45">
      <c r="A9" s="2" t="s">
        <v>25</v>
      </c>
      <c r="B9" s="15">
        <v>80</v>
      </c>
      <c r="D9" s="6" t="s">
        <v>32</v>
      </c>
      <c r="E9" s="7">
        <f>COUNTIFS(Quantity1,"&gt;=60",Quantity1,"&lt;=80")</f>
        <v>5</v>
      </c>
    </row>
    <row r="10" spans="1:6" ht="17.5" x14ac:dyDescent="0.45">
      <c r="A10" s="2" t="s">
        <v>28</v>
      </c>
      <c r="B10" s="15">
        <v>99</v>
      </c>
    </row>
    <row r="11" spans="1:6" ht="17.5" x14ac:dyDescent="0.45">
      <c r="A11" s="2" t="s">
        <v>28</v>
      </c>
      <c r="B11" s="14">
        <v>15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6</vt:i4>
      </vt:variant>
    </vt:vector>
  </HeadingPairs>
  <TitlesOfParts>
    <vt:vector size="8" baseType="lpstr">
      <vt:lpstr>SUM|SUMIF|SUMIFS</vt:lpstr>
      <vt:lpstr>Sheet2</vt:lpstr>
      <vt:lpstr>Division1</vt:lpstr>
      <vt:lpstr>DOJ1_</vt:lpstr>
      <vt:lpstr>Fruits1</vt:lpstr>
      <vt:lpstr>Name1</vt:lpstr>
      <vt:lpstr>Quantity1</vt:lpstr>
      <vt:lpstr>Salary1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Anudip1</dc:creator>
  <cp:lastModifiedBy>Anudip1</cp:lastModifiedBy>
  <dcterms:created xsi:type="dcterms:W3CDTF">2026-05-21T08:38:29Z</dcterms:created>
  <dcterms:modified xsi:type="dcterms:W3CDTF">2026-05-21T09:35:12Z</dcterms:modified>
</cp:coreProperties>
</file>