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6211\Excel\"/>
    </mc:Choice>
  </mc:AlternateContent>
  <xr:revisionPtr revIDLastSave="0" documentId="13_ncr:1_{277734B4-BDF4-4ABC-82DF-ADDD199E509C}" xr6:coauthVersionLast="37" xr6:coauthVersionMax="37" xr10:uidLastSave="{00000000-0000-0000-0000-000000000000}"/>
  <bookViews>
    <workbookView xWindow="0" yWindow="0" windowWidth="7680" windowHeight="10930" activeTab="3" xr2:uid="{D4213206-02E2-40C9-BF57-AE4CDB31715B}"/>
  </bookViews>
  <sheets>
    <sheet name="SUM|SUMIF|SUMIFS" sheetId="1" r:id="rId1"/>
    <sheet name="COUNT|COUNTIF|COUNTIFS" sheetId="2" r:id="rId2"/>
    <sheet name="AVERAGE|AVERAGEIF|AVERAGEIFS" sheetId="3" r:id="rId3"/>
    <sheet name="Sheet4" sheetId="4" r:id="rId4"/>
  </sheets>
  <definedNames>
    <definedName name="City3">'AVERAGE|AVERAGEIF|AVERAGEIFS'!$A$2:$A$11</definedName>
    <definedName name="City4">Sheet4!$A$2:$A$11</definedName>
    <definedName name="Division1">'SUM|SUMIF|SUMIFS'!$C$2:$C$11</definedName>
    <definedName name="DOJ1_">'SUM|SUMIF|SUMIFS'!$B$2:$B$11</definedName>
    <definedName name="Fruits1">'COUNT|COUNTIF|COUNTIFS'!$A$2:$A$11</definedName>
    <definedName name="Fruits3">'AVERAGE|AVERAGEIF|AVERAGEIFS'!$B$2:$B$11</definedName>
    <definedName name="Fruits4">Sheet4!$B$2:$B$11</definedName>
    <definedName name="Name1">'SUM|SUMIF|SUMIFS'!$A$2:$A$11</definedName>
    <definedName name="Quantity1">'COUNT|COUNTIF|COUNTIFS'!$B$2:$B$11</definedName>
    <definedName name="Quantity3">'AVERAGE|AVERAGEIF|AVERAGEIFS'!$C$2:$C$11</definedName>
    <definedName name="Quantity4">Sheet4!$C$2:$C$11</definedName>
    <definedName name="Salary1">'SUM|SUMIF|SUMIFS'!$D$2:$D$11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4" l="1"/>
  <c r="D26" i="4" l="1"/>
  <c r="D25" i="4"/>
  <c r="D24" i="4"/>
  <c r="D23" i="4"/>
  <c r="D22" i="4"/>
  <c r="D21" i="4"/>
  <c r="D20" i="4"/>
  <c r="D19" i="4"/>
  <c r="D18" i="4"/>
  <c r="D17" i="4"/>
  <c r="I25" i="4"/>
  <c r="I24" i="4"/>
  <c r="I23" i="4"/>
  <c r="I20" i="4"/>
  <c r="I19" i="4"/>
  <c r="I18" i="4"/>
  <c r="I13" i="4"/>
  <c r="I11" i="4"/>
  <c r="I9" i="4"/>
  <c r="I7" i="4"/>
  <c r="I5" i="4"/>
  <c r="F15" i="3"/>
  <c r="I13" i="3"/>
  <c r="H13" i="3"/>
  <c r="G13" i="3"/>
  <c r="F13" i="3"/>
  <c r="F11" i="3"/>
  <c r="F9" i="3"/>
  <c r="F7" i="3"/>
  <c r="E9" i="2"/>
  <c r="E7" i="2"/>
  <c r="F3" i="2"/>
  <c r="F5" i="2"/>
  <c r="E5" i="2"/>
  <c r="E3" i="2"/>
  <c r="G10" i="1"/>
  <c r="G12" i="1"/>
  <c r="G8" i="1"/>
  <c r="G6" i="1"/>
</calcChain>
</file>

<file path=xl/sharedStrings.xml><?xml version="1.0" encoding="utf-8"?>
<sst xmlns="http://schemas.openxmlformats.org/spreadsheetml/2006/main" count="128" uniqueCount="72">
  <si>
    <t>Name1</t>
  </si>
  <si>
    <t>DOJ1</t>
  </si>
  <si>
    <t>Division1</t>
  </si>
  <si>
    <t>Salary1</t>
  </si>
  <si>
    <t>Aman Singh</t>
  </si>
  <si>
    <t>Admin</t>
  </si>
  <si>
    <t>Suprabh roshan</t>
  </si>
  <si>
    <t>Uttam Singh</t>
  </si>
  <si>
    <t>Finance</t>
  </si>
  <si>
    <t>Anand Mangnale</t>
  </si>
  <si>
    <t>Bhalerao</t>
  </si>
  <si>
    <t>Healthcare</t>
  </si>
  <si>
    <t>Rajesh Kumar</t>
  </si>
  <si>
    <t>Rahul Singh</t>
  </si>
  <si>
    <t>HR</t>
  </si>
  <si>
    <t>Sanjay Raut</t>
  </si>
  <si>
    <t>Manish Pandey</t>
  </si>
  <si>
    <t>Pravin Singh</t>
  </si>
  <si>
    <t>Marketing</t>
  </si>
  <si>
    <t>Total Salary</t>
  </si>
  <si>
    <t>Total Salary Which is greter then 20000</t>
  </si>
  <si>
    <t>Total Salary of the Admin</t>
  </si>
  <si>
    <t>Total Salary of Hr Department and salary should be greter than 20000</t>
  </si>
  <si>
    <t>Fruits1</t>
  </si>
  <si>
    <t>Quantity1</t>
  </si>
  <si>
    <t>Apples</t>
  </si>
  <si>
    <t>Banana</t>
  </si>
  <si>
    <t>Coconut</t>
  </si>
  <si>
    <t>Oranges</t>
  </si>
  <si>
    <t>Count the Quantity</t>
  </si>
  <si>
    <t>Count the Fruits</t>
  </si>
  <si>
    <t>Count The Quantity &gt; 50</t>
  </si>
  <si>
    <t>Count the quantity between 60 and 80</t>
  </si>
  <si>
    <t>City3</t>
  </si>
  <si>
    <t>Fruits3</t>
  </si>
  <si>
    <t>Quantity3</t>
  </si>
  <si>
    <t>Raigad</t>
  </si>
  <si>
    <t>Ratnagiri</t>
  </si>
  <si>
    <t>Goa</t>
  </si>
  <si>
    <t>Sangli</t>
  </si>
  <si>
    <t>Satara</t>
  </si>
  <si>
    <t>Thane</t>
  </si>
  <si>
    <t>Wardha</t>
  </si>
  <si>
    <t>Washim</t>
  </si>
  <si>
    <t>Jack Fruit</t>
  </si>
  <si>
    <t>Pune</t>
  </si>
  <si>
    <t>Lemon</t>
  </si>
  <si>
    <t>What is the Average means.?</t>
  </si>
  <si>
    <t xml:space="preserve">Formula of th avg =&gt; </t>
  </si>
  <si>
    <t>Average of Quantity</t>
  </si>
  <si>
    <t>Average Quantity of Banana</t>
  </si>
  <si>
    <t>average of Quantity &gt; 60</t>
  </si>
  <si>
    <t>Average Quantity of Apples and Banana</t>
  </si>
  <si>
    <t>Average of Apples in Goa</t>
  </si>
  <si>
    <t>Sum of Total Values / Total Number of Values</t>
  </si>
  <si>
    <t>City4</t>
  </si>
  <si>
    <t>Fruits4</t>
  </si>
  <si>
    <t>Quantity4</t>
  </si>
  <si>
    <t>FruitName</t>
  </si>
  <si>
    <t>CityName</t>
  </si>
  <si>
    <t>minimum Quantity</t>
  </si>
  <si>
    <t>Maximum Quantity</t>
  </si>
  <si>
    <t>Minimun Quantity for the mentioned Fruit</t>
  </si>
  <si>
    <t>Maximum Quantity of the Mentioned Fruit</t>
  </si>
  <si>
    <t>minimum Quantity of the mentioned fruit in the mentioned city</t>
  </si>
  <si>
    <t>maximum Quantity of the mentioned fruit in the mentioned city</t>
  </si>
  <si>
    <t>Smallest Quantity</t>
  </si>
  <si>
    <t>2nd Smallest Quantity</t>
  </si>
  <si>
    <t>5th Smallest Quantity</t>
  </si>
  <si>
    <t>Largest Value of the Quantity</t>
  </si>
  <si>
    <t>2nd Highest Quantity</t>
  </si>
  <si>
    <t>5th Highest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</si>
</sst>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Segoe UI"/>
      <family val="2"/>
    </font>
    <font>
      <sz val="12"/>
      <color theme="1"/>
      <name val="Segoe UI"/>
      <family val="2"/>
    </font>
    <font>
      <sz val="10"/>
      <name val="Arial"/>
      <family val="2"/>
    </font>
    <font>
      <sz val="12"/>
      <name val="Segoe UI"/>
      <family val="2"/>
    </font>
    <font>
      <b/>
      <sz val="12"/>
      <color theme="0"/>
      <name val="Segoe UI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6">
    <xf numFmtId="0" fontId="0" fillId="0" borderId="0" xfId="0"/>
    <xf numFmtId="0" fontId="3" fillId="3" borderId="1" xfId="2" applyFont="1" applyFill="1" applyBorder="1" applyAlignment="1">
      <alignment horizontal="center" vertical="center"/>
    </xf>
    <xf numFmtId="0" fontId="4" fillId="0" borderId="1" xfId="0" applyFont="1" applyBorder="1" applyAlignment="1"/>
    <xf numFmtId="15" fontId="4" fillId="0" borderId="1" xfId="0" applyNumberFormat="1" applyFont="1" applyBorder="1" applyAlignment="1">
      <alignment horizontal="center"/>
    </xf>
    <xf numFmtId="43" fontId="6" fillId="0" borderId="1" xfId="3" applyFont="1" applyBorder="1" applyAlignment="1" applyProtection="1">
      <alignment horizontal="center" vertical="top"/>
    </xf>
    <xf numFmtId="0" fontId="6" fillId="0" borderId="1" xfId="4" applyNumberFormat="1" applyFont="1" applyBorder="1" applyAlignment="1" applyProtection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5" borderId="1" xfId="0" applyFill="1" applyBorder="1"/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6" borderId="0" xfId="0" applyFont="1" applyFill="1"/>
    <xf numFmtId="0" fontId="8" fillId="6" borderId="1" xfId="0" applyFont="1" applyFill="1" applyBorder="1"/>
    <xf numFmtId="0" fontId="9" fillId="0" borderId="0" xfId="0" applyFont="1" applyAlignment="1">
      <alignment wrapText="1"/>
    </xf>
    <xf numFmtId="0" fontId="2" fillId="4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</cellXfs>
  <cellStyles count="5">
    <cellStyle name="Accent5" xfId="2" builtinId="45"/>
    <cellStyle name="Comma 2" xfId="4" xr:uid="{5948AE31-775D-40E6-9517-4A714D325B7B}"/>
    <cellStyle name="Comma 4 2" xfId="3" xr:uid="{61EE0311-9A95-4204-9EEE-9E0A8CE763C7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626A-17DB-48E8-9018-A0E6F8D7A325}">
  <dimension ref="A1:I12"/>
  <sheetViews>
    <sheetView showGridLines="0" workbookViewId="0">
      <selection activeCell="G12" sqref="G12"/>
    </sheetView>
  </sheetViews>
  <sheetFormatPr defaultRowHeight="14.5" x14ac:dyDescent="0.35"/>
  <cols>
    <col min="1" max="1" width="23.08984375" customWidth="1"/>
    <col min="2" max="2" width="15.26953125" customWidth="1"/>
    <col min="3" max="3" width="16.1796875" customWidth="1"/>
    <col min="4" max="4" width="14.90625" customWidth="1"/>
    <col min="6" max="6" width="61.36328125" customWidth="1"/>
    <col min="7" max="7" width="19.1796875" customWidth="1"/>
    <col min="8" max="8" width="17.08984375" customWidth="1"/>
  </cols>
  <sheetData>
    <row r="1" spans="1:9" ht="17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9" ht="17.5" x14ac:dyDescent="0.45">
      <c r="A2" s="2" t="s">
        <v>4</v>
      </c>
      <c r="B2" s="3">
        <v>44442</v>
      </c>
      <c r="C2" s="4" t="s">
        <v>5</v>
      </c>
      <c r="D2" s="5">
        <v>15000</v>
      </c>
    </row>
    <row r="3" spans="1:9" ht="17.5" x14ac:dyDescent="0.45">
      <c r="A3" s="2" t="s">
        <v>6</v>
      </c>
      <c r="B3" s="3">
        <v>43906</v>
      </c>
      <c r="C3" s="4" t="s">
        <v>5</v>
      </c>
      <c r="D3" s="5">
        <v>21000</v>
      </c>
    </row>
    <row r="4" spans="1:9" ht="17.5" x14ac:dyDescent="0.45">
      <c r="A4" s="2" t="s">
        <v>7</v>
      </c>
      <c r="B4" s="3">
        <v>44485</v>
      </c>
      <c r="C4" s="4" t="s">
        <v>8</v>
      </c>
      <c r="D4" s="5">
        <v>14000</v>
      </c>
    </row>
    <row r="5" spans="1:9" ht="17.5" x14ac:dyDescent="0.45">
      <c r="A5" s="2" t="s">
        <v>9</v>
      </c>
      <c r="B5" s="3">
        <v>44298</v>
      </c>
      <c r="C5" s="4" t="s">
        <v>8</v>
      </c>
      <c r="D5" s="5">
        <v>30000</v>
      </c>
    </row>
    <row r="6" spans="1:9" ht="17.5" x14ac:dyDescent="0.45">
      <c r="A6" s="2" t="s">
        <v>10</v>
      </c>
      <c r="B6" s="3">
        <v>43890</v>
      </c>
      <c r="C6" s="4" t="s">
        <v>11</v>
      </c>
      <c r="D6" s="5">
        <v>17000</v>
      </c>
      <c r="F6" s="12" t="s">
        <v>19</v>
      </c>
      <c r="G6" s="7">
        <f>SUM(Salary1)</f>
        <v>233000</v>
      </c>
      <c r="I6" s="10"/>
    </row>
    <row r="7" spans="1:9" ht="17.5" x14ac:dyDescent="0.45">
      <c r="A7" s="2" t="s">
        <v>12</v>
      </c>
      <c r="B7" s="3">
        <v>44051</v>
      </c>
      <c r="C7" s="4" t="s">
        <v>11</v>
      </c>
      <c r="D7" s="5">
        <v>25000</v>
      </c>
      <c r="G7" s="8"/>
    </row>
    <row r="8" spans="1:9" ht="17.5" x14ac:dyDescent="0.45">
      <c r="A8" s="2" t="s">
        <v>13</v>
      </c>
      <c r="B8" s="3">
        <v>43863</v>
      </c>
      <c r="C8" s="4" t="s">
        <v>14</v>
      </c>
      <c r="D8" s="5">
        <v>50000</v>
      </c>
      <c r="F8" s="12" t="s">
        <v>20</v>
      </c>
      <c r="G8" s="7">
        <f>SUMIF(Salary1,"&gt;20000",Salary1)</f>
        <v>154000</v>
      </c>
    </row>
    <row r="9" spans="1:9" ht="17.5" x14ac:dyDescent="0.45">
      <c r="A9" s="2" t="s">
        <v>15</v>
      </c>
      <c r="B9" s="3">
        <v>44461</v>
      </c>
      <c r="C9" s="4" t="s">
        <v>14</v>
      </c>
      <c r="D9" s="5">
        <v>28000</v>
      </c>
    </row>
    <row r="10" spans="1:9" ht="17.5" x14ac:dyDescent="0.45">
      <c r="A10" s="2" t="s">
        <v>16</v>
      </c>
      <c r="B10" s="3">
        <v>44491</v>
      </c>
      <c r="C10" s="4" t="s">
        <v>14</v>
      </c>
      <c r="D10" s="5">
        <v>19000</v>
      </c>
      <c r="F10" s="12" t="s">
        <v>21</v>
      </c>
      <c r="G10" s="7">
        <f>SUMIF(Division1,"Admin",Salary1)</f>
        <v>36000</v>
      </c>
    </row>
    <row r="11" spans="1:9" ht="17.5" x14ac:dyDescent="0.45">
      <c r="A11" s="2" t="s">
        <v>17</v>
      </c>
      <c r="B11" s="3">
        <v>44313</v>
      </c>
      <c r="C11" s="4" t="s">
        <v>18</v>
      </c>
      <c r="D11" s="5">
        <v>14000</v>
      </c>
    </row>
    <row r="12" spans="1:9" ht="19.5" customHeight="1" x14ac:dyDescent="0.35">
      <c r="F12" s="13" t="s">
        <v>22</v>
      </c>
      <c r="G12" s="9">
        <f>SUMIFS(Salary1,Division1,"HR",Salary1,"&gt;20000")</f>
        <v>78000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A2AF-D1A2-42DC-98BA-BB0109C8AB28}">
  <dimension ref="A1:F11"/>
  <sheetViews>
    <sheetView showGridLines="0" workbookViewId="0">
      <selection activeCell="E9" sqref="E9"/>
    </sheetView>
  </sheetViews>
  <sheetFormatPr defaultRowHeight="14.5" x14ac:dyDescent="0.35"/>
  <cols>
    <col min="1" max="1" width="16.90625" customWidth="1"/>
    <col min="2" max="2" width="15.26953125" customWidth="1"/>
    <col min="4" max="4" width="36.1796875" customWidth="1"/>
    <col min="5" max="5" width="9.54296875" customWidth="1"/>
    <col min="6" max="6" width="11.26953125" customWidth="1"/>
  </cols>
  <sheetData>
    <row r="1" spans="1:6" ht="17.5" x14ac:dyDescent="0.35">
      <c r="A1" s="14" t="s">
        <v>23</v>
      </c>
      <c r="B1" s="14" t="s">
        <v>24</v>
      </c>
    </row>
    <row r="2" spans="1:6" ht="17.5" x14ac:dyDescent="0.45">
      <c r="A2" s="2" t="s">
        <v>25</v>
      </c>
      <c r="B2" s="15">
        <v>99</v>
      </c>
    </row>
    <row r="3" spans="1:6" ht="17.5" x14ac:dyDescent="0.45">
      <c r="A3" s="2" t="s">
        <v>26</v>
      </c>
      <c r="B3" s="15">
        <v>80</v>
      </c>
      <c r="D3" s="17" t="s">
        <v>29</v>
      </c>
      <c r="E3" s="9">
        <f>COUNT(Quantity1)</f>
        <v>10</v>
      </c>
      <c r="F3" s="9">
        <f>COUNTA(Quantity1)</f>
        <v>10</v>
      </c>
    </row>
    <row r="4" spans="1:6" ht="17.5" x14ac:dyDescent="0.45">
      <c r="A4" s="2" t="s">
        <v>26</v>
      </c>
      <c r="B4" s="15">
        <v>76</v>
      </c>
    </row>
    <row r="5" spans="1:6" ht="17.5" x14ac:dyDescent="0.45">
      <c r="A5" s="2" t="s">
        <v>27</v>
      </c>
      <c r="B5" s="15">
        <v>76</v>
      </c>
      <c r="D5" s="17" t="s">
        <v>30</v>
      </c>
      <c r="E5" s="7">
        <f>COUNT(Fruits1)</f>
        <v>0</v>
      </c>
      <c r="F5" s="7">
        <f>COUNTA(Fruits1)</f>
        <v>10</v>
      </c>
    </row>
    <row r="6" spans="1:6" ht="17.5" x14ac:dyDescent="0.45">
      <c r="A6" s="2" t="s">
        <v>25</v>
      </c>
      <c r="B6" s="16">
        <v>68</v>
      </c>
    </row>
    <row r="7" spans="1:6" ht="17.5" x14ac:dyDescent="0.45">
      <c r="A7" s="2" t="s">
        <v>28</v>
      </c>
      <c r="B7" s="16">
        <v>49</v>
      </c>
      <c r="D7" s="17" t="s">
        <v>31</v>
      </c>
      <c r="E7" s="9">
        <f>COUNTIF(Quantity1,"&gt;50")</f>
        <v>7</v>
      </c>
    </row>
    <row r="8" spans="1:6" ht="17.5" x14ac:dyDescent="0.45">
      <c r="A8" s="2" t="s">
        <v>25</v>
      </c>
      <c r="B8" s="15">
        <v>48</v>
      </c>
    </row>
    <row r="9" spans="1:6" ht="17.5" x14ac:dyDescent="0.45">
      <c r="A9" s="2" t="s">
        <v>25</v>
      </c>
      <c r="B9" s="16">
        <v>80</v>
      </c>
      <c r="D9" s="17" t="s">
        <v>32</v>
      </c>
      <c r="E9" s="7">
        <f>COUNTIFS(Quantity1,"&gt;=60",Quantity1,"&lt;=80")</f>
        <v>5</v>
      </c>
    </row>
    <row r="10" spans="1:6" ht="17.5" x14ac:dyDescent="0.45">
      <c r="A10" s="2" t="s">
        <v>28</v>
      </c>
      <c r="B10" s="16">
        <v>99</v>
      </c>
    </row>
    <row r="11" spans="1:6" ht="17.5" x14ac:dyDescent="0.45">
      <c r="A11" s="2" t="s">
        <v>28</v>
      </c>
      <c r="B11" s="15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45B8-3502-448D-98DD-85580E0F8A6C}">
  <dimension ref="A1:I15"/>
  <sheetViews>
    <sheetView showGridLines="0" workbookViewId="0">
      <selection activeCell="F15" sqref="F15"/>
    </sheetView>
  </sheetViews>
  <sheetFormatPr defaultRowHeight="14.5" x14ac:dyDescent="0.35"/>
  <cols>
    <col min="1" max="1" width="13.26953125" customWidth="1"/>
    <col min="2" max="2" width="15.1796875" customWidth="1"/>
    <col min="3" max="3" width="15.453125" customWidth="1"/>
    <col min="5" max="5" width="34.54296875" bestFit="1" customWidth="1"/>
    <col min="6" max="6" width="39.08984375" style="11" bestFit="1" customWidth="1"/>
  </cols>
  <sheetData>
    <row r="1" spans="1:9" ht="17.5" x14ac:dyDescent="0.35">
      <c r="A1" s="14" t="s">
        <v>33</v>
      </c>
      <c r="B1" s="14" t="s">
        <v>34</v>
      </c>
      <c r="C1" s="14" t="s">
        <v>35</v>
      </c>
    </row>
    <row r="2" spans="1:9" ht="17.5" x14ac:dyDescent="0.45">
      <c r="A2" s="2" t="s">
        <v>36</v>
      </c>
      <c r="B2" s="2" t="s">
        <v>28</v>
      </c>
      <c r="C2" s="18">
        <v>15</v>
      </c>
    </row>
    <row r="3" spans="1:9" ht="17.5" x14ac:dyDescent="0.45">
      <c r="A3" s="2" t="s">
        <v>37</v>
      </c>
      <c r="B3" s="2" t="s">
        <v>28</v>
      </c>
      <c r="C3" s="19">
        <v>23</v>
      </c>
    </row>
    <row r="4" spans="1:9" ht="17.5" x14ac:dyDescent="0.45">
      <c r="A4" s="2" t="s">
        <v>38</v>
      </c>
      <c r="B4" s="2" t="s">
        <v>25</v>
      </c>
      <c r="C4" s="19">
        <v>40</v>
      </c>
      <c r="E4" s="20" t="s">
        <v>47</v>
      </c>
    </row>
    <row r="5" spans="1:9" ht="17.5" x14ac:dyDescent="0.45">
      <c r="A5" s="2" t="s">
        <v>39</v>
      </c>
      <c r="B5" s="2" t="s">
        <v>28</v>
      </c>
      <c r="C5" s="19">
        <v>50</v>
      </c>
      <c r="E5" s="21" t="s">
        <v>48</v>
      </c>
      <c r="F5" s="9" t="s">
        <v>54</v>
      </c>
    </row>
    <row r="6" spans="1:9" ht="17.5" x14ac:dyDescent="0.45">
      <c r="A6" s="2" t="s">
        <v>40</v>
      </c>
      <c r="B6" s="2" t="s">
        <v>28</v>
      </c>
      <c r="C6" s="18">
        <v>50</v>
      </c>
    </row>
    <row r="7" spans="1:9" ht="17.5" x14ac:dyDescent="0.45">
      <c r="A7" s="2" t="s">
        <v>38</v>
      </c>
      <c r="B7" s="2" t="s">
        <v>28</v>
      </c>
      <c r="C7" s="19">
        <v>68</v>
      </c>
      <c r="E7" s="21" t="s">
        <v>49</v>
      </c>
      <c r="F7" s="9">
        <f>AVERAGE(Quantity3)</f>
        <v>57.7</v>
      </c>
    </row>
    <row r="8" spans="1:9" ht="17.5" x14ac:dyDescent="0.45">
      <c r="A8" s="2" t="s">
        <v>41</v>
      </c>
      <c r="B8" s="2" t="s">
        <v>26</v>
      </c>
      <c r="C8" s="18">
        <v>76</v>
      </c>
    </row>
    <row r="9" spans="1:9" ht="17.5" x14ac:dyDescent="0.45">
      <c r="A9" s="2" t="s">
        <v>42</v>
      </c>
      <c r="B9" s="2" t="s">
        <v>27</v>
      </c>
      <c r="C9" s="18">
        <v>76</v>
      </c>
      <c r="E9" s="21" t="s">
        <v>50</v>
      </c>
      <c r="F9" s="9">
        <f>AVERAGEIF(Fruits3,"Banana",Quantity3)</f>
        <v>76</v>
      </c>
    </row>
    <row r="10" spans="1:9" ht="17.5" x14ac:dyDescent="0.45">
      <c r="A10" s="2" t="s">
        <v>43</v>
      </c>
      <c r="B10" s="2" t="s">
        <v>44</v>
      </c>
      <c r="C10" s="18">
        <v>80</v>
      </c>
    </row>
    <row r="11" spans="1:9" ht="17.5" x14ac:dyDescent="0.45">
      <c r="A11" s="2" t="s">
        <v>45</v>
      </c>
      <c r="B11" s="2" t="s">
        <v>46</v>
      </c>
      <c r="C11" s="18">
        <v>99</v>
      </c>
      <c r="E11" s="21" t="s">
        <v>51</v>
      </c>
      <c r="F11" s="9">
        <f>AVERAGEIF(Quantity3,"&gt;=60",Quantity3)</f>
        <v>79.8</v>
      </c>
    </row>
    <row r="13" spans="1:9" x14ac:dyDescent="0.35">
      <c r="E13" s="21" t="s">
        <v>52</v>
      </c>
      <c r="F13" s="9" t="e">
        <f>AVERAGEIFS(Quantity3,Fruits3,"Banana",Fruits3,"Apple")</f>
        <v>#DIV/0!</v>
      </c>
      <c r="G13" s="9">
        <f>(AVERAGEIF(Fruits3,"Banana",Quantity3) + AVERAGEIF(Fruits3,"Apples",Quantity3))/2</f>
        <v>58</v>
      </c>
      <c r="H13" s="9">
        <f>AVERAGE(SUMIF(Fruits3,"Banana",Quantity3),SUMIF(Fruits3,"Apples",Quantity3))</f>
        <v>58</v>
      </c>
      <c r="I13" s="9">
        <f>(SUMIF(Fruits3,"Banana",Quantity3)+SUMIF(Fruits3,"Apples",Quantity3))/2</f>
        <v>58</v>
      </c>
    </row>
    <row r="15" spans="1:9" x14ac:dyDescent="0.35">
      <c r="E15" s="21" t="s">
        <v>53</v>
      </c>
      <c r="F15" s="9">
        <f>AVERAGEIFS(Quantity3,City3,"Goa",Fruits3,"Apples")</f>
        <v>40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D3C6-A2F9-4B9B-BAF2-85B71EFDB91C}">
  <dimension ref="A1:I75"/>
  <sheetViews>
    <sheetView showGridLines="0" tabSelected="1" topLeftCell="A4" zoomScale="85" zoomScaleNormal="85" workbookViewId="0">
      <selection activeCell="I15" sqref="I15"/>
    </sheetView>
  </sheetViews>
  <sheetFormatPr defaultRowHeight="14.5" x14ac:dyDescent="0.35"/>
  <cols>
    <col min="1" max="1" width="12.6328125" customWidth="1"/>
    <col min="2" max="2" width="10" bestFit="1" customWidth="1"/>
    <col min="3" max="3" width="11.26953125" bestFit="1" customWidth="1"/>
    <col min="5" max="5" width="12.453125" customWidth="1"/>
    <col min="6" max="6" width="13.08984375" customWidth="1"/>
    <col min="8" max="8" width="57.7265625" customWidth="1"/>
    <col min="9" max="9" width="8.7265625" style="11"/>
  </cols>
  <sheetData>
    <row r="1" spans="1:9" ht="17.5" x14ac:dyDescent="0.35">
      <c r="A1" s="14" t="s">
        <v>55</v>
      </c>
      <c r="B1" s="14" t="s">
        <v>56</v>
      </c>
      <c r="C1" s="14" t="s">
        <v>57</v>
      </c>
    </row>
    <row r="2" spans="1:9" ht="17.5" x14ac:dyDescent="0.45">
      <c r="A2" s="2" t="s">
        <v>38</v>
      </c>
      <c r="B2" s="2" t="s">
        <v>28</v>
      </c>
      <c r="C2" s="19">
        <v>23</v>
      </c>
    </row>
    <row r="3" spans="1:9" ht="17.5" x14ac:dyDescent="0.45">
      <c r="A3" s="2" t="s">
        <v>38</v>
      </c>
      <c r="B3" s="2" t="s">
        <v>25</v>
      </c>
      <c r="C3" s="19">
        <v>40</v>
      </c>
    </row>
    <row r="4" spans="1:9" ht="17.5" x14ac:dyDescent="0.45">
      <c r="A4" s="2" t="s">
        <v>39</v>
      </c>
      <c r="B4" s="2" t="s">
        <v>28</v>
      </c>
      <c r="C4" s="19">
        <v>50</v>
      </c>
      <c r="E4" s="23" t="s">
        <v>58</v>
      </c>
      <c r="F4" s="23" t="s">
        <v>59</v>
      </c>
    </row>
    <row r="5" spans="1:9" ht="17.5" x14ac:dyDescent="0.45">
      <c r="A5" s="2" t="s">
        <v>38</v>
      </c>
      <c r="B5" s="2" t="s">
        <v>28</v>
      </c>
      <c r="C5" s="18">
        <v>55</v>
      </c>
      <c r="E5" s="6" t="s">
        <v>28</v>
      </c>
      <c r="F5" s="6" t="s">
        <v>38</v>
      </c>
      <c r="H5" s="6" t="s">
        <v>60</v>
      </c>
      <c r="I5" s="9">
        <f>MIN(Quantity4)</f>
        <v>23</v>
      </c>
    </row>
    <row r="6" spans="1:9" ht="17.5" x14ac:dyDescent="0.45">
      <c r="A6" s="2" t="s">
        <v>38</v>
      </c>
      <c r="B6" s="2" t="s">
        <v>25</v>
      </c>
      <c r="C6" s="19">
        <v>68</v>
      </c>
    </row>
    <row r="7" spans="1:9" ht="17.5" x14ac:dyDescent="0.45">
      <c r="A7" s="2" t="s">
        <v>41</v>
      </c>
      <c r="B7" s="2" t="s">
        <v>26</v>
      </c>
      <c r="C7" s="18">
        <v>73</v>
      </c>
      <c r="H7" s="6" t="s">
        <v>61</v>
      </c>
      <c r="I7" s="9">
        <f>MAX(Quantity4)</f>
        <v>150</v>
      </c>
    </row>
    <row r="8" spans="1:9" ht="17.5" x14ac:dyDescent="0.45">
      <c r="A8" s="2" t="s">
        <v>42</v>
      </c>
      <c r="B8" s="2" t="s">
        <v>27</v>
      </c>
      <c r="C8" s="18">
        <v>76</v>
      </c>
    </row>
    <row r="9" spans="1:9" ht="17.5" x14ac:dyDescent="0.45">
      <c r="A9" s="2" t="s">
        <v>43</v>
      </c>
      <c r="B9" s="2" t="s">
        <v>44</v>
      </c>
      <c r="C9" s="18">
        <v>80</v>
      </c>
      <c r="H9" s="6" t="s">
        <v>62</v>
      </c>
      <c r="I9" s="9">
        <f>_xlfn.MINIFS(Quantity4,Fruits4,E5)</f>
        <v>23</v>
      </c>
    </row>
    <row r="10" spans="1:9" ht="17.5" x14ac:dyDescent="0.45">
      <c r="A10" s="2" t="s">
        <v>45</v>
      </c>
      <c r="B10" s="2" t="s">
        <v>46</v>
      </c>
      <c r="C10" s="18">
        <v>99</v>
      </c>
    </row>
    <row r="11" spans="1:9" ht="17.5" x14ac:dyDescent="0.45">
      <c r="A11" s="2" t="s">
        <v>36</v>
      </c>
      <c r="B11" s="2" t="s">
        <v>28</v>
      </c>
      <c r="C11" s="18">
        <v>150</v>
      </c>
      <c r="H11" s="6" t="s">
        <v>63</v>
      </c>
      <c r="I11" s="9">
        <f>_xlfn.MAXIFS(Quantity4,Fruits4,E5)</f>
        <v>150</v>
      </c>
    </row>
    <row r="13" spans="1:9" x14ac:dyDescent="0.35">
      <c r="H13" s="6" t="s">
        <v>64</v>
      </c>
      <c r="I13" s="9">
        <f>_xlfn.MINIFS(Quantity4,Fruits4,E5,City4,F5)</f>
        <v>23</v>
      </c>
    </row>
    <row r="15" spans="1:9" x14ac:dyDescent="0.35">
      <c r="H15" s="6" t="s">
        <v>65</v>
      </c>
      <c r="I15" s="9">
        <f>_xlfn.MAXIFS(Quantity4,Fruits4,E5,City4,F5)</f>
        <v>55</v>
      </c>
    </row>
    <row r="17" spans="4:9" x14ac:dyDescent="0.35">
      <c r="D17" s="9">
        <f>SMALL(Quantity4,1)</f>
        <v>23</v>
      </c>
    </row>
    <row r="18" spans="4:9" x14ac:dyDescent="0.35">
      <c r="D18" s="9">
        <f>SMALL(Quantity4,2)</f>
        <v>40</v>
      </c>
      <c r="H18" s="24" t="s">
        <v>66</v>
      </c>
      <c r="I18" s="9">
        <f>SMALL(Quantity4,1)</f>
        <v>23</v>
      </c>
    </row>
    <row r="19" spans="4:9" x14ac:dyDescent="0.35">
      <c r="D19" s="9">
        <f>SMALL(Quantity4,3)</f>
        <v>50</v>
      </c>
      <c r="H19" s="24" t="s">
        <v>67</v>
      </c>
      <c r="I19" s="9">
        <f>SMALL(Quantity4,2)</f>
        <v>40</v>
      </c>
    </row>
    <row r="20" spans="4:9" x14ac:dyDescent="0.35">
      <c r="D20" s="9">
        <f>SMALL(Quantity4,4)</f>
        <v>55</v>
      </c>
      <c r="H20" s="25" t="s">
        <v>68</v>
      </c>
      <c r="I20" s="9">
        <f>SMALL(Quantity4,5)</f>
        <v>68</v>
      </c>
    </row>
    <row r="21" spans="4:9" x14ac:dyDescent="0.35">
      <c r="D21" s="9">
        <f>SMALL(Quantity4,5)</f>
        <v>68</v>
      </c>
    </row>
    <row r="22" spans="4:9" x14ac:dyDescent="0.35">
      <c r="D22" s="9">
        <f>SMALL(Quantity4,6)</f>
        <v>73</v>
      </c>
    </row>
    <row r="23" spans="4:9" x14ac:dyDescent="0.35">
      <c r="D23" s="9">
        <f>SMALL(Quantity4,7)</f>
        <v>76</v>
      </c>
      <c r="H23" s="24" t="s">
        <v>69</v>
      </c>
      <c r="I23" s="9">
        <f>LARGE(Quantity4,1)</f>
        <v>150</v>
      </c>
    </row>
    <row r="24" spans="4:9" x14ac:dyDescent="0.35">
      <c r="D24" s="9">
        <f>SMALL(Quantity4,8)</f>
        <v>80</v>
      </c>
      <c r="H24" s="24" t="s">
        <v>70</v>
      </c>
      <c r="I24" s="9">
        <f>LARGE(Quantity4,2)</f>
        <v>99</v>
      </c>
    </row>
    <row r="25" spans="4:9" x14ac:dyDescent="0.35">
      <c r="D25" s="9">
        <f>SMALL(Quantity4,9)</f>
        <v>99</v>
      </c>
      <c r="H25" s="24" t="s">
        <v>71</v>
      </c>
      <c r="I25" s="9">
        <f>LARGE(Quantity4,5)</f>
        <v>73</v>
      </c>
    </row>
    <row r="26" spans="4:9" x14ac:dyDescent="0.35">
      <c r="D26" s="9">
        <f>SMALL(Quantity4,10)</f>
        <v>150</v>
      </c>
    </row>
    <row r="68" spans="2:3" x14ac:dyDescent="0.35">
      <c r="B68" s="22" t="s">
        <v>36</v>
      </c>
      <c r="C68" s="22" t="s">
        <v>28</v>
      </c>
    </row>
    <row r="69" spans="2:3" x14ac:dyDescent="0.35">
      <c r="B69" s="22" t="s">
        <v>37</v>
      </c>
      <c r="C69" s="22" t="s">
        <v>25</v>
      </c>
    </row>
    <row r="70" spans="2:3" x14ac:dyDescent="0.35">
      <c r="B70" s="22" t="s">
        <v>38</v>
      </c>
      <c r="C70" s="22" t="s">
        <v>26</v>
      </c>
    </row>
    <row r="71" spans="2:3" x14ac:dyDescent="0.35">
      <c r="B71" s="22" t="s">
        <v>39</v>
      </c>
      <c r="C71" s="22" t="s">
        <v>27</v>
      </c>
    </row>
    <row r="72" spans="2:3" x14ac:dyDescent="0.35">
      <c r="B72" s="22" t="s">
        <v>41</v>
      </c>
      <c r="C72" s="22" t="s">
        <v>44</v>
      </c>
    </row>
    <row r="73" spans="2:3" x14ac:dyDescent="0.35">
      <c r="B73" s="22" t="s">
        <v>42</v>
      </c>
      <c r="C73" s="22" t="s">
        <v>46</v>
      </c>
    </row>
    <row r="74" spans="2:3" x14ac:dyDescent="0.35">
      <c r="B74" s="22" t="s">
        <v>43</v>
      </c>
      <c r="C74" s="22"/>
    </row>
    <row r="75" spans="2:3" x14ac:dyDescent="0.35">
      <c r="B75" s="22" t="s">
        <v>45</v>
      </c>
      <c r="C75" s="22"/>
    </row>
  </sheetData>
  <sortState ref="A2:C11">
    <sortCondition ref="C1"/>
  </sortState>
  <dataValidations disablePrompts="1" count="2">
    <dataValidation type="list" allowBlank="1" showInputMessage="1" showErrorMessage="1" sqref="E5" xr:uid="{3AE07EDD-E333-46B2-9FFC-7A008213B995}">
      <formula1>$C$68:$C$73</formula1>
    </dataValidation>
    <dataValidation type="list" allowBlank="1" showInputMessage="1" showErrorMessage="1" sqref="F5" xr:uid="{92D22D22-F186-45DD-98EF-6BDD1E088828}">
      <formula1>$B$68:$B$75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SUM|SUMIF|SUMIFS</vt:lpstr>
      <vt:lpstr>COUNT|COUNTIF|COUNTIFS</vt:lpstr>
      <vt:lpstr>AVERAGE|AVERAGEIF|AVERAGEIFS</vt:lpstr>
      <vt:lpstr>Sheet4</vt:lpstr>
      <vt:lpstr>City3</vt:lpstr>
      <vt:lpstr>City4</vt:lpstr>
      <vt:lpstr>Division1</vt:lpstr>
      <vt:lpstr>DOJ1_</vt:lpstr>
      <vt:lpstr>Fruits1</vt:lpstr>
      <vt:lpstr>Fruits3</vt:lpstr>
      <vt:lpstr>Fruits4</vt:lpstr>
      <vt:lpstr>Name1</vt:lpstr>
      <vt:lpstr>Quantity1</vt:lpstr>
      <vt:lpstr>Quantity3</vt:lpstr>
      <vt:lpstr>Quantity4</vt:lpstr>
      <vt:lpstr>Salary1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2026-05-21T08:38:29Z</dcterms:created>
  <dcterms:modified xsi:type="dcterms:W3CDTF">2026-05-21T10:20:59Z</dcterms:modified>
</cp:coreProperties>
</file>