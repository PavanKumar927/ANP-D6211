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Excel\"/>
    </mc:Choice>
  </mc:AlternateContent>
  <xr:revisionPtr revIDLastSave="0" documentId="13_ncr:1_{A5E1500B-EBF2-4B33-976F-EAAC771BAE25}" xr6:coauthVersionLast="37" xr6:coauthVersionMax="37" xr10:uidLastSave="{00000000-0000-0000-0000-000000000000}"/>
  <bookViews>
    <workbookView xWindow="0" yWindow="0" windowWidth="9580" windowHeight="2940" activeTab="1" xr2:uid="{F66161BB-47FA-4D86-A75E-82214A4B244F}"/>
  </bookViews>
  <sheets>
    <sheet name="Ex1" sheetId="2" r:id="rId1"/>
    <sheet name="Ex2" sheetId="1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M8" i="2"/>
  <c r="L8" i="2"/>
  <c r="J8" i="2"/>
  <c r="K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E2" i="1"/>
  <c r="G2" i="1" s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</calcChain>
</file>

<file path=xl/sharedStrings.xml><?xml version="1.0" encoding="utf-8"?>
<sst xmlns="http://schemas.openxmlformats.org/spreadsheetml/2006/main" count="58" uniqueCount="53">
  <si>
    <t>ID</t>
  </si>
  <si>
    <t>Name of YouTube Channel</t>
  </si>
  <si>
    <t>Name of the Owner</t>
  </si>
  <si>
    <t>Subscribers in Millions</t>
  </si>
  <si>
    <t>T-serIES</t>
  </si>
  <si>
    <t>Bhushan Kumar</t>
  </si>
  <si>
    <t>SET          India</t>
  </si>
  <si>
    <t>Sony Pictures Network</t>
  </si>
  <si>
    <t>Zee Music company</t>
  </si>
  <si>
    <t>Subhash Chandra</t>
  </si>
  <si>
    <t>Sony Music INDIA</t>
  </si>
  <si>
    <t>Sony Entertainment</t>
  </si>
  <si>
    <t>Aaj Tak</t>
  </si>
  <si>
    <t>India Today Group</t>
  </si>
  <si>
    <t>YRF</t>
  </si>
  <si>
    <t>Yash Raj Films</t>
  </si>
  <si>
    <t>CarryMINATI</t>
  </si>
  <si>
    <t>Ajey Nagar</t>
  </si>
  <si>
    <t>Ashish     Chanchlani Vines</t>
  </si>
  <si>
    <t>Ashish Chanchlani</t>
  </si>
  <si>
    <t>BB Ki Vines</t>
  </si>
  <si>
    <t>Bhuvan Bam</t>
  </si>
  <si>
    <t>Technical           Guruji</t>
  </si>
  <si>
    <t>Gaurav Chaudhary</t>
  </si>
  <si>
    <t>MrBeast</t>
  </si>
  <si>
    <t>Jimmy Donaldson</t>
  </si>
  <si>
    <t>PEwdiePie</t>
  </si>
  <si>
    <t>Felix Kjellberg</t>
  </si>
  <si>
    <t>5-minute CRAFTS</t>
  </si>
  <si>
    <t>THE soul publishing</t>
  </si>
  <si>
    <t>likeNastia</t>
  </si>
  <si>
    <t>anastasia radzinskaya</t>
  </si>
  <si>
    <t>coComelon - Nursery rhymes</t>
  </si>
  <si>
    <t>Jay Jeon</t>
  </si>
  <si>
    <t>Canal             Kondzilla</t>
  </si>
  <si>
    <t>Konrad Dantas</t>
  </si>
  <si>
    <t>kids D Iana Show</t>
  </si>
  <si>
    <t>Diana</t>
  </si>
  <si>
    <t>Badabun</t>
  </si>
  <si>
    <t>Various Contributors</t>
  </si>
  <si>
    <t>VanossGaming</t>
  </si>
  <si>
    <t>Evan Fong</t>
  </si>
  <si>
    <t>Markiplier</t>
  </si>
  <si>
    <t>Mark Fischbach</t>
  </si>
  <si>
    <t>Addition</t>
  </si>
  <si>
    <t>Subtraction</t>
  </si>
  <si>
    <t>Mul</t>
  </si>
  <si>
    <t>Div</t>
  </si>
  <si>
    <t>Num1</t>
  </si>
  <si>
    <t>Num2</t>
  </si>
  <si>
    <t>Manally Enter the values(not recomanded)</t>
  </si>
  <si>
    <t>TRIM</t>
  </si>
  <si>
    <t>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</si>
</sst>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32C2-FEEA-462D-B9EB-16AC6CC32A96}">
  <dimension ref="A1:M22"/>
  <sheetViews>
    <sheetView workbookViewId="0">
      <selection activeCell="O8" sqref="O8"/>
    </sheetView>
  </sheetViews>
  <sheetFormatPr defaultRowHeight="14.5" x14ac:dyDescent="0.35"/>
  <cols>
    <col min="3" max="3" width="10.08984375" style="10" customWidth="1"/>
    <col min="4" max="4" width="13.453125" customWidth="1"/>
    <col min="5" max="5" width="9.90625" style="10" customWidth="1"/>
    <col min="6" max="6" width="12" style="10" customWidth="1"/>
    <col min="9" max="9" width="10.453125" customWidth="1"/>
    <col min="10" max="10" width="10.81640625" customWidth="1"/>
    <col min="11" max="11" width="12.54296875" customWidth="1"/>
    <col min="12" max="12" width="12.6328125" customWidth="1"/>
    <col min="13" max="13" width="11.54296875" customWidth="1"/>
  </cols>
  <sheetData>
    <row r="1" spans="1:13" x14ac:dyDescent="0.35">
      <c r="A1" s="11" t="s">
        <v>48</v>
      </c>
      <c r="B1" s="11" t="s">
        <v>49</v>
      </c>
      <c r="C1" s="12" t="s">
        <v>44</v>
      </c>
      <c r="D1" s="11" t="s">
        <v>45</v>
      </c>
      <c r="E1" s="12" t="s">
        <v>46</v>
      </c>
      <c r="F1" s="12" t="s">
        <v>47</v>
      </c>
    </row>
    <row r="2" spans="1:13" x14ac:dyDescent="0.35">
      <c r="A2" s="6">
        <v>250</v>
      </c>
      <c r="B2" s="6">
        <v>42</v>
      </c>
      <c r="C2" s="9">
        <f>A2+B2</f>
        <v>292</v>
      </c>
      <c r="D2" s="9">
        <f>A2-B2</f>
        <v>208</v>
      </c>
      <c r="E2" s="9">
        <f>A2*B2</f>
        <v>10500</v>
      </c>
      <c r="F2" s="9">
        <f>A2/B2</f>
        <v>5.9523809523809526</v>
      </c>
    </row>
    <row r="3" spans="1:13" x14ac:dyDescent="0.35">
      <c r="A3" s="6">
        <v>157</v>
      </c>
      <c r="B3" s="6">
        <v>47</v>
      </c>
      <c r="C3" s="9">
        <f t="shared" ref="C3:C21" si="0">A3+B3</f>
        <v>204</v>
      </c>
      <c r="D3" s="9">
        <f t="shared" ref="D3:D21" si="1">A3-B3</f>
        <v>110</v>
      </c>
      <c r="E3" s="9">
        <f t="shared" ref="E3:E21" si="2">A3*B3</f>
        <v>7379</v>
      </c>
      <c r="F3" s="9">
        <f t="shared" ref="F3:F21" si="3">A3/B3</f>
        <v>3.3404255319148937</v>
      </c>
    </row>
    <row r="4" spans="1:13" x14ac:dyDescent="0.35">
      <c r="A4" s="6">
        <v>94</v>
      </c>
      <c r="B4" s="6">
        <v>24</v>
      </c>
      <c r="C4" s="9">
        <f t="shared" si="0"/>
        <v>118</v>
      </c>
      <c r="D4" s="9">
        <f t="shared" si="1"/>
        <v>70</v>
      </c>
      <c r="E4" s="9">
        <f t="shared" si="2"/>
        <v>2256</v>
      </c>
      <c r="F4" s="9">
        <f t="shared" si="3"/>
        <v>3.9166666666666665</v>
      </c>
    </row>
    <row r="5" spans="1:13" x14ac:dyDescent="0.35">
      <c r="A5" s="6">
        <v>52</v>
      </c>
      <c r="B5" s="6">
        <v>48</v>
      </c>
      <c r="C5" s="9">
        <f t="shared" si="0"/>
        <v>100</v>
      </c>
      <c r="D5" s="9">
        <f t="shared" si="1"/>
        <v>4</v>
      </c>
      <c r="E5" s="9">
        <f t="shared" si="2"/>
        <v>2496</v>
      </c>
      <c r="F5" s="9">
        <f t="shared" si="3"/>
        <v>1.0833333333333333</v>
      </c>
    </row>
    <row r="6" spans="1:13" x14ac:dyDescent="0.35">
      <c r="A6" s="6">
        <v>50</v>
      </c>
      <c r="B6" s="6">
        <v>29</v>
      </c>
      <c r="C6" s="9">
        <f t="shared" si="0"/>
        <v>79</v>
      </c>
      <c r="D6" s="9">
        <f t="shared" si="1"/>
        <v>21</v>
      </c>
      <c r="E6" s="9">
        <f t="shared" si="2"/>
        <v>1450</v>
      </c>
      <c r="F6" s="9">
        <f t="shared" si="3"/>
        <v>1.7241379310344827</v>
      </c>
      <c r="J6" s="13" t="s">
        <v>50</v>
      </c>
      <c r="K6" s="13"/>
      <c r="L6" s="13"/>
      <c r="M6" s="13"/>
    </row>
    <row r="7" spans="1:13" x14ac:dyDescent="0.35">
      <c r="A7" s="6">
        <v>45</v>
      </c>
      <c r="B7" s="6">
        <v>22</v>
      </c>
      <c r="C7" s="9">
        <f t="shared" si="0"/>
        <v>67</v>
      </c>
      <c r="D7" s="9">
        <f t="shared" si="1"/>
        <v>23</v>
      </c>
      <c r="E7" s="9">
        <f t="shared" si="2"/>
        <v>990</v>
      </c>
      <c r="F7" s="9">
        <f t="shared" si="3"/>
        <v>2.0454545454545454</v>
      </c>
      <c r="J7" s="12" t="s">
        <v>44</v>
      </c>
      <c r="K7" s="11" t="s">
        <v>45</v>
      </c>
      <c r="L7" s="12" t="s">
        <v>46</v>
      </c>
      <c r="M7" s="12" t="s">
        <v>47</v>
      </c>
    </row>
    <row r="8" spans="1:13" x14ac:dyDescent="0.35">
      <c r="A8" s="6">
        <v>40</v>
      </c>
      <c r="B8" s="6">
        <v>16</v>
      </c>
      <c r="C8" s="9">
        <f t="shared" si="0"/>
        <v>56</v>
      </c>
      <c r="D8" s="9">
        <f t="shared" si="1"/>
        <v>24</v>
      </c>
      <c r="E8" s="9">
        <f t="shared" si="2"/>
        <v>640</v>
      </c>
      <c r="F8" s="9">
        <f t="shared" si="3"/>
        <v>2.5</v>
      </c>
      <c r="J8">
        <f>250+42</f>
        <v>292</v>
      </c>
      <c r="K8">
        <f>250-42</f>
        <v>208</v>
      </c>
      <c r="L8">
        <f>250*42</f>
        <v>10500</v>
      </c>
      <c r="M8">
        <f>250/42</f>
        <v>5.9523809523809526</v>
      </c>
    </row>
    <row r="9" spans="1:13" x14ac:dyDescent="0.35">
      <c r="A9" s="6">
        <v>32</v>
      </c>
      <c r="B9" s="6">
        <v>27</v>
      </c>
      <c r="C9" s="9">
        <f t="shared" si="0"/>
        <v>59</v>
      </c>
      <c r="D9" s="9">
        <f t="shared" si="1"/>
        <v>5</v>
      </c>
      <c r="E9" s="9">
        <f t="shared" si="2"/>
        <v>864</v>
      </c>
      <c r="F9" s="9">
        <f t="shared" si="3"/>
        <v>1.1851851851851851</v>
      </c>
    </row>
    <row r="10" spans="1:13" x14ac:dyDescent="0.35">
      <c r="A10" s="6">
        <v>26</v>
      </c>
      <c r="B10" s="6">
        <v>18</v>
      </c>
      <c r="C10" s="9">
        <f t="shared" si="0"/>
        <v>44</v>
      </c>
      <c r="D10" s="9">
        <f t="shared" si="1"/>
        <v>8</v>
      </c>
      <c r="E10" s="9">
        <f t="shared" si="2"/>
        <v>468</v>
      </c>
      <c r="F10" s="9">
        <f t="shared" si="3"/>
        <v>1.4444444444444444</v>
      </c>
    </row>
    <row r="11" spans="1:13" x14ac:dyDescent="0.35">
      <c r="A11" s="6">
        <v>22</v>
      </c>
      <c r="B11" s="6">
        <v>26</v>
      </c>
      <c r="C11" s="9">
        <f t="shared" si="0"/>
        <v>48</v>
      </c>
      <c r="D11" s="9">
        <f t="shared" si="1"/>
        <v>-4</v>
      </c>
      <c r="E11" s="9">
        <f t="shared" si="2"/>
        <v>572</v>
      </c>
      <c r="F11" s="9">
        <f t="shared" si="3"/>
        <v>0.84615384615384615</v>
      </c>
    </row>
    <row r="12" spans="1:13" x14ac:dyDescent="0.35">
      <c r="A12" s="6">
        <v>176</v>
      </c>
      <c r="B12" s="6">
        <v>23</v>
      </c>
      <c r="C12" s="9">
        <f t="shared" si="0"/>
        <v>199</v>
      </c>
      <c r="D12" s="9">
        <f t="shared" si="1"/>
        <v>153</v>
      </c>
      <c r="E12" s="9">
        <f t="shared" si="2"/>
        <v>4048</v>
      </c>
      <c r="F12" s="9">
        <f t="shared" si="3"/>
        <v>7.6521739130434785</v>
      </c>
    </row>
    <row r="13" spans="1:13" x14ac:dyDescent="0.35">
      <c r="A13" s="6">
        <v>111</v>
      </c>
      <c r="B13" s="6">
        <v>38</v>
      </c>
      <c r="C13" s="9">
        <f t="shared" si="0"/>
        <v>149</v>
      </c>
      <c r="D13" s="9">
        <f t="shared" si="1"/>
        <v>73</v>
      </c>
      <c r="E13" s="9">
        <f t="shared" si="2"/>
        <v>4218</v>
      </c>
      <c r="F13" s="9">
        <f t="shared" si="3"/>
        <v>2.9210526315789473</v>
      </c>
    </row>
    <row r="14" spans="1:13" x14ac:dyDescent="0.35">
      <c r="A14" s="6">
        <v>78</v>
      </c>
      <c r="B14" s="6">
        <v>41</v>
      </c>
      <c r="C14" s="9">
        <f t="shared" si="0"/>
        <v>119</v>
      </c>
      <c r="D14" s="9">
        <f t="shared" si="1"/>
        <v>37</v>
      </c>
      <c r="E14" s="9">
        <f t="shared" si="2"/>
        <v>3198</v>
      </c>
      <c r="F14" s="9">
        <f t="shared" si="3"/>
        <v>1.9024390243902438</v>
      </c>
    </row>
    <row r="15" spans="1:13" x14ac:dyDescent="0.35">
      <c r="A15" s="6">
        <v>106</v>
      </c>
      <c r="B15" s="6">
        <v>19</v>
      </c>
      <c r="C15" s="9">
        <f t="shared" si="0"/>
        <v>125</v>
      </c>
      <c r="D15" s="9">
        <f t="shared" si="1"/>
        <v>87</v>
      </c>
      <c r="E15" s="9">
        <f t="shared" si="2"/>
        <v>2014</v>
      </c>
      <c r="F15" s="9">
        <f t="shared" si="3"/>
        <v>5.5789473684210522</v>
      </c>
    </row>
    <row r="16" spans="1:13" x14ac:dyDescent="0.35">
      <c r="A16" s="6">
        <v>163</v>
      </c>
      <c r="B16" s="6">
        <v>29</v>
      </c>
      <c r="C16" s="9">
        <f t="shared" si="0"/>
        <v>192</v>
      </c>
      <c r="D16" s="9">
        <f t="shared" si="1"/>
        <v>134</v>
      </c>
      <c r="E16" s="9">
        <f t="shared" si="2"/>
        <v>4727</v>
      </c>
      <c r="F16" s="9">
        <f t="shared" si="3"/>
        <v>5.6206896551724137</v>
      </c>
    </row>
    <row r="17" spans="1:6" x14ac:dyDescent="0.35">
      <c r="A17" s="6">
        <v>66</v>
      </c>
      <c r="B17" s="6">
        <v>37</v>
      </c>
      <c r="C17" s="9">
        <f t="shared" si="0"/>
        <v>103</v>
      </c>
      <c r="D17" s="9">
        <f t="shared" si="1"/>
        <v>29</v>
      </c>
      <c r="E17" s="9">
        <f t="shared" si="2"/>
        <v>2442</v>
      </c>
      <c r="F17" s="9">
        <f t="shared" si="3"/>
        <v>1.7837837837837838</v>
      </c>
    </row>
    <row r="18" spans="1:6" x14ac:dyDescent="0.35">
      <c r="A18" s="6">
        <v>115</v>
      </c>
      <c r="B18" s="6">
        <v>38</v>
      </c>
      <c r="C18" s="9">
        <f t="shared" si="0"/>
        <v>153</v>
      </c>
      <c r="D18" s="9">
        <f t="shared" si="1"/>
        <v>77</v>
      </c>
      <c r="E18" s="9">
        <f t="shared" si="2"/>
        <v>4370</v>
      </c>
      <c r="F18" s="9">
        <f t="shared" si="3"/>
        <v>3.0263157894736841</v>
      </c>
    </row>
    <row r="19" spans="1:6" x14ac:dyDescent="0.35">
      <c r="A19" s="6">
        <v>44</v>
      </c>
      <c r="B19" s="6">
        <v>47</v>
      </c>
      <c r="C19" s="9">
        <f t="shared" si="0"/>
        <v>91</v>
      </c>
      <c r="D19" s="9">
        <f t="shared" si="1"/>
        <v>-3</v>
      </c>
      <c r="E19" s="9">
        <f t="shared" si="2"/>
        <v>2068</v>
      </c>
      <c r="F19" s="9">
        <f t="shared" si="3"/>
        <v>0.93617021276595747</v>
      </c>
    </row>
    <row r="20" spans="1:6" x14ac:dyDescent="0.35">
      <c r="A20" s="6">
        <v>25</v>
      </c>
      <c r="B20" s="6">
        <v>13</v>
      </c>
      <c r="C20" s="9">
        <f t="shared" si="0"/>
        <v>38</v>
      </c>
      <c r="D20" s="9">
        <f t="shared" si="1"/>
        <v>12</v>
      </c>
      <c r="E20" s="9">
        <f t="shared" si="2"/>
        <v>325</v>
      </c>
      <c r="F20" s="9">
        <f t="shared" si="3"/>
        <v>1.9230769230769231</v>
      </c>
    </row>
    <row r="21" spans="1:6" x14ac:dyDescent="0.35">
      <c r="A21" s="6">
        <v>35</v>
      </c>
      <c r="B21" s="6">
        <v>30</v>
      </c>
      <c r="C21" s="9">
        <f t="shared" si="0"/>
        <v>65</v>
      </c>
      <c r="D21" s="9">
        <f t="shared" si="1"/>
        <v>5</v>
      </c>
      <c r="E21" s="9">
        <f t="shared" si="2"/>
        <v>1050</v>
      </c>
      <c r="F21" s="9">
        <f t="shared" si="3"/>
        <v>1.1666666666666667</v>
      </c>
    </row>
    <row r="22" spans="1:6" x14ac:dyDescent="0.35">
      <c r="A22" s="8"/>
      <c r="B22" s="8"/>
      <c r="C22" s="9"/>
      <c r="D22" s="8"/>
      <c r="E22" s="9"/>
      <c r="F22" s="9"/>
    </row>
  </sheetData>
  <mergeCells count="1">
    <mergeCell ref="J6:M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D75C-13CF-42BE-B3F0-8BC24BCF7717}">
  <dimension ref="A1:G21"/>
  <sheetViews>
    <sheetView tabSelected="1" workbookViewId="0">
      <selection activeCell="H2" sqref="H2"/>
    </sheetView>
  </sheetViews>
  <sheetFormatPr defaultRowHeight="14.5" x14ac:dyDescent="0.35"/>
  <cols>
    <col min="1" max="1" width="5.36328125" customWidth="1"/>
    <col min="2" max="2" width="26.7265625" customWidth="1"/>
    <col min="3" max="3" width="35" customWidth="1"/>
    <col min="4" max="4" width="19.54296875" bestFit="1" customWidth="1"/>
    <col min="5" max="5" width="25.26953125" bestFit="1" customWidth="1"/>
    <col min="6" max="6" width="14.90625" customWidth="1"/>
    <col min="7" max="7" width="13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51</v>
      </c>
      <c r="F1" s="1" t="s">
        <v>52</v>
      </c>
      <c r="G1" s="1" t="s">
        <v>52</v>
      </c>
    </row>
    <row r="2" spans="1:7" x14ac:dyDescent="0.35">
      <c r="A2" s="3">
        <v>1</v>
      </c>
      <c r="B2" s="4" t="s">
        <v>4</v>
      </c>
      <c r="C2" s="5" t="s">
        <v>5</v>
      </c>
      <c r="D2" s="6">
        <v>250</v>
      </c>
      <c r="E2" s="15" t="str">
        <f>TRIM(B2)</f>
        <v>T-serIES</v>
      </c>
      <c r="F2" s="14">
        <f>LEN(B2)</f>
        <v>8</v>
      </c>
      <c r="G2" s="17">
        <f>LEN(E2)</f>
        <v>8</v>
      </c>
    </row>
    <row r="3" spans="1:7" x14ac:dyDescent="0.35">
      <c r="A3" s="3">
        <v>2</v>
      </c>
      <c r="B3" s="4" t="s">
        <v>6</v>
      </c>
      <c r="C3" s="5" t="s">
        <v>7</v>
      </c>
      <c r="D3" s="6">
        <v>157</v>
      </c>
      <c r="E3" s="16" t="str">
        <f>TRIM(B3)</f>
        <v>SET India</v>
      </c>
      <c r="F3" s="14">
        <f>LEN(B3)</f>
        <v>18</v>
      </c>
      <c r="G3" s="17">
        <f t="shared" ref="G3:G21" si="0">LEN(E3)</f>
        <v>9</v>
      </c>
    </row>
    <row r="4" spans="1:7" x14ac:dyDescent="0.35">
      <c r="A4" s="3">
        <v>3</v>
      </c>
      <c r="B4" s="7" t="s">
        <v>8</v>
      </c>
      <c r="C4" s="5" t="s">
        <v>9</v>
      </c>
      <c r="D4" s="6">
        <v>94</v>
      </c>
      <c r="E4" s="8" t="str">
        <f>TRIM(B4)</f>
        <v>Zee Music company</v>
      </c>
      <c r="F4" s="14">
        <f>LEN(B4)</f>
        <v>17</v>
      </c>
      <c r="G4" s="17">
        <f t="shared" si="0"/>
        <v>17</v>
      </c>
    </row>
    <row r="5" spans="1:7" x14ac:dyDescent="0.35">
      <c r="A5" s="3">
        <v>4</v>
      </c>
      <c r="B5" s="7" t="s">
        <v>10</v>
      </c>
      <c r="C5" s="5" t="s">
        <v>11</v>
      </c>
      <c r="D5" s="6">
        <v>52</v>
      </c>
      <c r="E5" s="8" t="str">
        <f>TRIM(B5)</f>
        <v>Sony Music INDIA</v>
      </c>
      <c r="F5" s="14">
        <f>LEN(B5)</f>
        <v>16</v>
      </c>
      <c r="G5" s="17">
        <f t="shared" si="0"/>
        <v>16</v>
      </c>
    </row>
    <row r="6" spans="1:7" x14ac:dyDescent="0.35">
      <c r="A6" s="3">
        <v>5</v>
      </c>
      <c r="B6" s="7" t="s">
        <v>12</v>
      </c>
      <c r="C6" s="5" t="s">
        <v>13</v>
      </c>
      <c r="D6" s="6">
        <v>50</v>
      </c>
      <c r="E6" s="8" t="str">
        <f>TRIM(B6)</f>
        <v>Aaj Tak</v>
      </c>
      <c r="F6" s="14">
        <f>LEN(B6)</f>
        <v>7</v>
      </c>
      <c r="G6" s="17">
        <f t="shared" si="0"/>
        <v>7</v>
      </c>
    </row>
    <row r="7" spans="1:7" x14ac:dyDescent="0.35">
      <c r="A7" s="3">
        <v>6</v>
      </c>
      <c r="B7" s="7" t="s">
        <v>14</v>
      </c>
      <c r="C7" s="5" t="s">
        <v>15</v>
      </c>
      <c r="D7" s="6">
        <v>45</v>
      </c>
      <c r="E7" s="8" t="str">
        <f>TRIM(B7)</f>
        <v>YRF</v>
      </c>
      <c r="F7" s="14">
        <f>LEN(B7)</f>
        <v>3</v>
      </c>
      <c r="G7" s="17">
        <f t="shared" si="0"/>
        <v>3</v>
      </c>
    </row>
    <row r="8" spans="1:7" x14ac:dyDescent="0.35">
      <c r="A8" s="3">
        <v>7</v>
      </c>
      <c r="B8" s="4" t="s">
        <v>16</v>
      </c>
      <c r="C8" s="5" t="s">
        <v>17</v>
      </c>
      <c r="D8" s="6">
        <v>40</v>
      </c>
      <c r="E8" s="16" t="str">
        <f>TRIM(B8)</f>
        <v>CarryMINATI</v>
      </c>
      <c r="F8" s="14">
        <f>LEN(B8)</f>
        <v>11</v>
      </c>
      <c r="G8" s="17">
        <f t="shared" si="0"/>
        <v>11</v>
      </c>
    </row>
    <row r="9" spans="1:7" x14ac:dyDescent="0.35">
      <c r="A9" s="3">
        <v>8</v>
      </c>
      <c r="B9" s="4" t="s">
        <v>18</v>
      </c>
      <c r="C9" s="5" t="s">
        <v>19</v>
      </c>
      <c r="D9" s="6">
        <v>32</v>
      </c>
      <c r="E9" s="16" t="str">
        <f>TRIM(B9)</f>
        <v>Ashish Chanchlani Vines</v>
      </c>
      <c r="F9" s="14">
        <f>LEN(B9)</f>
        <v>27</v>
      </c>
      <c r="G9" s="17">
        <f t="shared" si="0"/>
        <v>23</v>
      </c>
    </row>
    <row r="10" spans="1:7" x14ac:dyDescent="0.35">
      <c r="A10" s="3">
        <v>9</v>
      </c>
      <c r="B10" s="7" t="s">
        <v>20</v>
      </c>
      <c r="C10" s="5" t="s">
        <v>21</v>
      </c>
      <c r="D10" s="6">
        <v>26</v>
      </c>
      <c r="E10" s="8" t="str">
        <f>TRIM(B10)</f>
        <v>BB Ki Vines</v>
      </c>
      <c r="F10" s="14">
        <f>LEN(B10)</f>
        <v>11</v>
      </c>
      <c r="G10" s="17">
        <f t="shared" si="0"/>
        <v>11</v>
      </c>
    </row>
    <row r="11" spans="1:7" x14ac:dyDescent="0.35">
      <c r="A11" s="3">
        <v>10</v>
      </c>
      <c r="B11" s="4" t="s">
        <v>22</v>
      </c>
      <c r="C11" s="5" t="s">
        <v>23</v>
      </c>
      <c r="D11" s="6">
        <v>22</v>
      </c>
      <c r="E11" s="16" t="str">
        <f>TRIM(B11)</f>
        <v>Technical Guruji</v>
      </c>
      <c r="F11" s="14">
        <f>LEN(B11)</f>
        <v>26</v>
      </c>
      <c r="G11" s="17">
        <f t="shared" si="0"/>
        <v>16</v>
      </c>
    </row>
    <row r="12" spans="1:7" x14ac:dyDescent="0.35">
      <c r="A12" s="3">
        <v>11</v>
      </c>
      <c r="B12" s="7" t="s">
        <v>24</v>
      </c>
      <c r="C12" s="5" t="s">
        <v>25</v>
      </c>
      <c r="D12" s="6">
        <v>176</v>
      </c>
      <c r="E12" s="8" t="str">
        <f>TRIM(B12)</f>
        <v>MrBeast</v>
      </c>
      <c r="F12" s="14">
        <f>LEN(B12)</f>
        <v>7</v>
      </c>
      <c r="G12" s="17">
        <f t="shared" si="0"/>
        <v>7</v>
      </c>
    </row>
    <row r="13" spans="1:7" x14ac:dyDescent="0.35">
      <c r="A13" s="3">
        <v>12</v>
      </c>
      <c r="B13" s="4" t="s">
        <v>26</v>
      </c>
      <c r="C13" s="5" t="s">
        <v>27</v>
      </c>
      <c r="D13" s="6">
        <v>111</v>
      </c>
      <c r="E13" s="16" t="str">
        <f>TRIM(B13)</f>
        <v>PEwdiePie</v>
      </c>
      <c r="F13" s="14">
        <f>LEN(B13)</f>
        <v>9</v>
      </c>
      <c r="G13" s="17">
        <f t="shared" si="0"/>
        <v>9</v>
      </c>
    </row>
    <row r="14" spans="1:7" x14ac:dyDescent="0.35">
      <c r="A14" s="3">
        <v>13</v>
      </c>
      <c r="B14" s="4" t="s">
        <v>28</v>
      </c>
      <c r="C14" s="5" t="s">
        <v>29</v>
      </c>
      <c r="D14" s="6">
        <v>78</v>
      </c>
      <c r="E14" s="16" t="str">
        <f>TRIM(B14)</f>
        <v>5-minute CRAFTS</v>
      </c>
      <c r="F14" s="14">
        <f>LEN(B14)</f>
        <v>15</v>
      </c>
      <c r="G14" s="17">
        <f t="shared" si="0"/>
        <v>15</v>
      </c>
    </row>
    <row r="15" spans="1:7" x14ac:dyDescent="0.35">
      <c r="A15" s="3">
        <v>14</v>
      </c>
      <c r="B15" s="7" t="s">
        <v>30</v>
      </c>
      <c r="C15" s="5" t="s">
        <v>31</v>
      </c>
      <c r="D15" s="6">
        <v>106</v>
      </c>
      <c r="E15" s="8" t="str">
        <f>TRIM(B15)</f>
        <v>likeNastia</v>
      </c>
      <c r="F15" s="14">
        <f>LEN(B15)</f>
        <v>10</v>
      </c>
      <c r="G15" s="17">
        <f t="shared" si="0"/>
        <v>10</v>
      </c>
    </row>
    <row r="16" spans="1:7" x14ac:dyDescent="0.35">
      <c r="A16" s="3">
        <v>15</v>
      </c>
      <c r="B16" s="7" t="s">
        <v>32</v>
      </c>
      <c r="C16" s="5" t="s">
        <v>33</v>
      </c>
      <c r="D16" s="6">
        <v>163</v>
      </c>
      <c r="E16" s="8" t="str">
        <f>TRIM(B16)</f>
        <v>coComelon - Nursery rhymes</v>
      </c>
      <c r="F16" s="14">
        <f>LEN(B16)</f>
        <v>26</v>
      </c>
      <c r="G16" s="17">
        <f t="shared" si="0"/>
        <v>26</v>
      </c>
    </row>
    <row r="17" spans="1:7" x14ac:dyDescent="0.35">
      <c r="A17" s="3">
        <v>16</v>
      </c>
      <c r="B17" s="4" t="s">
        <v>34</v>
      </c>
      <c r="C17" s="5" t="s">
        <v>35</v>
      </c>
      <c r="D17" s="6">
        <v>66</v>
      </c>
      <c r="E17" s="16" t="str">
        <f>TRIM(B17)</f>
        <v>Canal Kondzilla</v>
      </c>
      <c r="F17" s="14">
        <f>LEN(B17)</f>
        <v>27</v>
      </c>
      <c r="G17" s="17">
        <f t="shared" si="0"/>
        <v>15</v>
      </c>
    </row>
    <row r="18" spans="1:7" x14ac:dyDescent="0.35">
      <c r="A18" s="3">
        <v>17</v>
      </c>
      <c r="B18" s="7" t="s">
        <v>36</v>
      </c>
      <c r="C18" s="5" t="s">
        <v>37</v>
      </c>
      <c r="D18" s="6">
        <v>115</v>
      </c>
      <c r="E18" s="8" t="str">
        <f>TRIM(B18)</f>
        <v>kids D Iana Show</v>
      </c>
      <c r="F18" s="14">
        <f>LEN(B18)</f>
        <v>16</v>
      </c>
      <c r="G18" s="17">
        <f t="shared" si="0"/>
        <v>16</v>
      </c>
    </row>
    <row r="19" spans="1:7" x14ac:dyDescent="0.35">
      <c r="A19" s="3">
        <v>18</v>
      </c>
      <c r="B19" s="7" t="s">
        <v>38</v>
      </c>
      <c r="C19" s="5" t="s">
        <v>39</v>
      </c>
      <c r="D19" s="6">
        <v>44</v>
      </c>
      <c r="E19" s="8" t="str">
        <f>TRIM(B19)</f>
        <v>Badabun</v>
      </c>
      <c r="F19" s="14">
        <f>LEN(B19)</f>
        <v>7</v>
      </c>
      <c r="G19" s="17">
        <f t="shared" si="0"/>
        <v>7</v>
      </c>
    </row>
    <row r="20" spans="1:7" x14ac:dyDescent="0.35">
      <c r="A20" s="3">
        <v>19</v>
      </c>
      <c r="B20" s="7" t="s">
        <v>40</v>
      </c>
      <c r="C20" s="5" t="s">
        <v>41</v>
      </c>
      <c r="D20" s="6">
        <v>25</v>
      </c>
      <c r="E20" s="8" t="str">
        <f>TRIM(B20)</f>
        <v>VanossGaming</v>
      </c>
      <c r="F20" s="14">
        <f>LEN(B20)</f>
        <v>12</v>
      </c>
      <c r="G20" s="17">
        <f t="shared" si="0"/>
        <v>12</v>
      </c>
    </row>
    <row r="21" spans="1:7" x14ac:dyDescent="0.35">
      <c r="A21" s="3">
        <v>20</v>
      </c>
      <c r="B21" s="7" t="s">
        <v>42</v>
      </c>
      <c r="C21" s="5" t="s">
        <v>43</v>
      </c>
      <c r="D21" s="6">
        <v>35</v>
      </c>
      <c r="E21" s="8" t="str">
        <f>TRIM(B21)</f>
        <v>Markiplier</v>
      </c>
      <c r="F21" s="14">
        <f>LEN(B21)</f>
        <v>10</v>
      </c>
      <c r="G21" s="17">
        <f t="shared" si="0"/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Ex1</vt:lpstr>
      <vt:lpstr>Ex2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2026-05-05T08:43:41Z</dcterms:created>
  <dcterms:modified xsi:type="dcterms:W3CDTF">2026-05-05T10:18:18Z</dcterms:modified>
</cp:coreProperties>
</file>