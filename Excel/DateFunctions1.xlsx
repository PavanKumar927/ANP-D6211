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090E9D75-CC03-4851-A5A0-338BC2FCC50F}" xr6:coauthVersionLast="37" xr6:coauthVersionMax="37" xr10:uidLastSave="{00000000-0000-0000-0000-000000000000}"/>
  <bookViews>
    <workbookView xWindow="0" yWindow="0" windowWidth="7680" windowHeight="11200" activeTab="6" xr2:uid="{FAFC723F-6BF7-442A-9487-952B16EE793B}"/>
  </bookViews>
  <sheets>
    <sheet name="Today" sheetId="1" r:id="rId1"/>
    <sheet name="Now" sheetId="2" r:id="rId2"/>
    <sheet name="Date" sheetId="3" r:id="rId3"/>
    <sheet name="DayMonthYear" sheetId="4" r:id="rId4"/>
    <sheet name="SerialNumber" sheetId="5" r:id="rId5"/>
    <sheet name="EDate" sheetId="6" r:id="rId6"/>
    <sheet name="DateDif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7" l="1"/>
  <c r="E35" i="7"/>
  <c r="E36" i="7"/>
  <c r="E37" i="7"/>
  <c r="E38" i="7"/>
  <c r="E39" i="7"/>
  <c r="E34" i="7"/>
  <c r="D39" i="7"/>
  <c r="D38" i="7"/>
  <c r="D37" i="7"/>
  <c r="D36" i="7"/>
  <c r="D35" i="7"/>
  <c r="D34" i="7"/>
  <c r="C35" i="7"/>
  <c r="C36" i="7"/>
  <c r="C38" i="7"/>
  <c r="C39" i="7"/>
  <c r="C34" i="7"/>
  <c r="F27" i="7"/>
  <c r="F23" i="7"/>
  <c r="F28" i="7"/>
  <c r="D27" i="7"/>
  <c r="F26" i="7"/>
  <c r="D25" i="7"/>
  <c r="F24" i="7"/>
  <c r="C14" i="7"/>
  <c r="D14" i="7" s="1"/>
  <c r="C15" i="7"/>
  <c r="D15" i="7" s="1"/>
  <c r="C16" i="7"/>
  <c r="D16" i="7" s="1"/>
  <c r="C17" i="7"/>
  <c r="D17" i="7" s="1"/>
  <c r="C18" i="7"/>
  <c r="D18" i="7" s="1"/>
  <c r="C13" i="7"/>
  <c r="D13" i="7" s="1"/>
  <c r="I7" i="7"/>
  <c r="I6" i="7"/>
  <c r="H5" i="7"/>
  <c r="I3" i="7"/>
  <c r="I2" i="7"/>
  <c r="H2" i="7"/>
  <c r="E3" i="7"/>
  <c r="E4" i="7"/>
  <c r="E5" i="7"/>
  <c r="E6" i="7"/>
  <c r="E7" i="7"/>
  <c r="E2" i="7"/>
  <c r="D3" i="7"/>
  <c r="D4" i="7"/>
  <c r="D5" i="7"/>
  <c r="D6" i="7"/>
  <c r="D7" i="7"/>
  <c r="D2" i="7"/>
  <c r="C3" i="7"/>
  <c r="C4" i="7"/>
  <c r="C5" i="7"/>
  <c r="C6" i="7"/>
  <c r="C7" i="7"/>
  <c r="C2" i="7"/>
  <c r="A11" i="6"/>
  <c r="C11" i="6" s="1"/>
  <c r="A22" i="6"/>
  <c r="C22" i="6" s="1"/>
  <c r="A21" i="6"/>
  <c r="C21" i="6" s="1"/>
  <c r="A20" i="6"/>
  <c r="C20" i="6" s="1"/>
  <c r="A19" i="6"/>
  <c r="D19" i="6" s="1"/>
  <c r="A14" i="6"/>
  <c r="C14" i="6" s="1"/>
  <c r="A13" i="6"/>
  <c r="C13" i="6" s="1"/>
  <c r="A12" i="6"/>
  <c r="C12" i="6" s="1"/>
  <c r="A5" i="6"/>
  <c r="C5" i="6" s="1"/>
  <c r="A4" i="6"/>
  <c r="C4" i="6" s="1"/>
  <c r="A3" i="6"/>
  <c r="C3" i="6" s="1"/>
  <c r="A2" i="6"/>
  <c r="C2" i="6" s="1"/>
  <c r="D23" i="7" l="1"/>
  <c r="E23" i="7"/>
  <c r="E25" i="7"/>
  <c r="E27" i="7"/>
  <c r="F25" i="7"/>
  <c r="D24" i="7"/>
  <c r="D26" i="7"/>
  <c r="D28" i="7"/>
  <c r="F18" i="7"/>
  <c r="E24" i="7"/>
  <c r="E26" i="7"/>
  <c r="E28" i="7"/>
  <c r="F17" i="7"/>
  <c r="F13" i="7"/>
  <c r="F16" i="7"/>
  <c r="F15" i="7"/>
  <c r="F14" i="7"/>
  <c r="E18" i="7"/>
  <c r="E17" i="7"/>
  <c r="E16" i="7"/>
  <c r="E15" i="7"/>
  <c r="E14" i="7"/>
  <c r="E13" i="7"/>
  <c r="D22" i="6"/>
  <c r="D21" i="6"/>
  <c r="D20" i="6"/>
  <c r="C19" i="6"/>
  <c r="D14" i="6"/>
  <c r="D13" i="6"/>
  <c r="D12" i="6"/>
  <c r="D11" i="6"/>
  <c r="D2" i="2"/>
  <c r="D2" i="1" l="1"/>
  <c r="E2" i="1" s="1"/>
  <c r="C2" i="4"/>
  <c r="J5" i="5"/>
  <c r="J6" i="5"/>
  <c r="J7" i="5"/>
  <c r="J8" i="5"/>
  <c r="J9" i="5"/>
  <c r="D3" i="5"/>
  <c r="D13" i="5"/>
  <c r="C13" i="5"/>
  <c r="B13" i="5"/>
  <c r="D12" i="5"/>
  <c r="C12" i="5"/>
  <c r="B12" i="5"/>
  <c r="E3" i="5"/>
  <c r="E4" i="5"/>
  <c r="D4" i="5"/>
  <c r="C3" i="5"/>
  <c r="C4" i="5"/>
  <c r="B2" i="5"/>
  <c r="A2" i="5"/>
  <c r="D2" i="5" s="1"/>
  <c r="E3" i="4"/>
  <c r="E4" i="4"/>
  <c r="E5" i="4"/>
  <c r="E6" i="4"/>
  <c r="E7" i="4"/>
  <c r="E2" i="4"/>
  <c r="D3" i="4"/>
  <c r="D4" i="4"/>
  <c r="D5" i="4"/>
  <c r="D6" i="4"/>
  <c r="D7" i="4"/>
  <c r="D2" i="4"/>
  <c r="C3" i="4"/>
  <c r="C4" i="4"/>
  <c r="C5" i="4"/>
  <c r="C6" i="4"/>
  <c r="C7" i="4"/>
  <c r="B1" i="3"/>
  <c r="E2" i="2"/>
  <c r="E2" i="5" l="1"/>
  <c r="C2" i="5"/>
</calcChain>
</file>

<file path=xl/sharedStrings.xml><?xml version="1.0" encoding="utf-8"?>
<sst xmlns="http://schemas.openxmlformats.org/spreadsheetml/2006/main" count="92" uniqueCount="36">
  <si>
    <t>S.no</t>
  </si>
  <si>
    <t>Name</t>
  </si>
  <si>
    <t>DateOfJoining</t>
  </si>
  <si>
    <t>Today'sDate</t>
  </si>
  <si>
    <t>TotalDaysInThatCompany</t>
  </si>
  <si>
    <t>Anjum</t>
  </si>
  <si>
    <t>LoginTime</t>
  </si>
  <si>
    <t>CurrentWorkingHours</t>
  </si>
  <si>
    <t>TotalHours</t>
  </si>
  <si>
    <t>Date</t>
  </si>
  <si>
    <t>EmployeeName</t>
  </si>
  <si>
    <t>DateOfBirth</t>
  </si>
  <si>
    <t>Srijan</t>
  </si>
  <si>
    <t>Kirtan</t>
  </si>
  <si>
    <t>Sai</t>
  </si>
  <si>
    <t>Zameer</t>
  </si>
  <si>
    <t>Pavan</t>
  </si>
  <si>
    <t>Year</t>
  </si>
  <si>
    <t>Month</t>
  </si>
  <si>
    <t>Day</t>
  </si>
  <si>
    <t>SerialNumber</t>
  </si>
  <si>
    <t>OrderedDate</t>
  </si>
  <si>
    <t>ExpectedDays</t>
  </si>
  <si>
    <t>ActuallDeliveryDate</t>
  </si>
  <si>
    <t>ExpectedMonths</t>
  </si>
  <si>
    <t>ExpectedYears</t>
  </si>
  <si>
    <t>PersonName</t>
  </si>
  <si>
    <t>DOB</t>
  </si>
  <si>
    <t>DatedifYear</t>
  </si>
  <si>
    <t>DatedifMonth</t>
  </si>
  <si>
    <t>DatedifDays</t>
  </si>
  <si>
    <t>TodaysDate</t>
  </si>
  <si>
    <t>ThiseYearBDate</t>
  </si>
  <si>
    <t>Years</t>
  </si>
  <si>
    <t>Months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</si>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</sst>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[$-F800]dddd\,\ mmmm\ dd\,\ yyyy"/>
    <numFmt numFmtId="166" formatCode="[$-14009]dddd\,\ d\ mmmm\,\ yyyy;@"/>
    <numFmt numFmtId="167" formatCode="[$-14009]d\.m\.yy;@"/>
    <numFmt numFmtId="168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FDA8-DF6D-4D6C-8559-908E61EE5473}">
  <dimension ref="A1:E3"/>
  <sheetViews>
    <sheetView workbookViewId="0">
      <selection activeCell="G4" sqref="G4"/>
    </sheetView>
  </sheetViews>
  <sheetFormatPr defaultRowHeight="14.5" x14ac:dyDescent="0.35"/>
  <cols>
    <col min="3" max="3" width="13.90625" customWidth="1"/>
    <col min="4" max="4" width="13.453125" style="2" customWidth="1"/>
    <col min="5" max="5" width="22.5429687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x14ac:dyDescent="0.35">
      <c r="A2" s="3">
        <v>1</v>
      </c>
      <c r="B2" s="3" t="s">
        <v>5</v>
      </c>
      <c r="C2" s="6">
        <v>45308</v>
      </c>
      <c r="D2" s="6">
        <f ca="1">TODAY()</f>
        <v>46154</v>
      </c>
      <c r="E2" s="4">
        <f ca="1">D2-C2</f>
        <v>846</v>
      </c>
    </row>
    <row r="3" spans="1:5" x14ac:dyDescent="0.35">
      <c r="A3" s="3"/>
      <c r="B3" s="3"/>
      <c r="C3" s="3"/>
      <c r="D3" s="6">
        <v>46153</v>
      </c>
      <c r="E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520F-F3FE-4805-9EF6-CCC9C7C5293C}">
  <dimension ref="A1:E2"/>
  <sheetViews>
    <sheetView workbookViewId="0">
      <selection activeCell="D3" sqref="D3"/>
    </sheetView>
  </sheetViews>
  <sheetFormatPr defaultRowHeight="14.5" x14ac:dyDescent="0.35"/>
  <cols>
    <col min="3" max="3" width="9.26953125" bestFit="1" customWidth="1"/>
    <col min="4" max="4" width="19.36328125" bestFit="1" customWidth="1"/>
    <col min="5" max="5" width="15.1796875" bestFit="1" customWidth="1"/>
  </cols>
  <sheetData>
    <row r="1" spans="1:5" x14ac:dyDescent="0.35">
      <c r="A1" s="5" t="s">
        <v>0</v>
      </c>
      <c r="B1" s="5" t="s">
        <v>1</v>
      </c>
      <c r="C1" s="5" t="s">
        <v>6</v>
      </c>
      <c r="D1" s="5" t="s">
        <v>7</v>
      </c>
      <c r="E1" s="9" t="s">
        <v>8</v>
      </c>
    </row>
    <row r="2" spans="1:5" x14ac:dyDescent="0.35">
      <c r="A2" s="5">
        <v>1</v>
      </c>
      <c r="B2" s="5" t="s">
        <v>5</v>
      </c>
      <c r="C2" s="8">
        <v>0.375</v>
      </c>
      <c r="D2" s="7">
        <f ca="1">NOW()</f>
        <v>46154.63814560185</v>
      </c>
      <c r="E2" s="10">
        <f ca="1">D2-C2</f>
        <v>46154.26314560185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20B2-D60F-4D79-9E69-CEA50956DBA8}">
  <dimension ref="A1:B1"/>
  <sheetViews>
    <sheetView workbookViewId="0">
      <selection activeCell="B1" sqref="B1"/>
    </sheetView>
  </sheetViews>
  <sheetFormatPr defaultRowHeight="14.5" x14ac:dyDescent="0.35"/>
  <cols>
    <col min="2" max="2" width="13.1796875" customWidth="1"/>
  </cols>
  <sheetData>
    <row r="1" spans="1:2" x14ac:dyDescent="0.35">
      <c r="A1" t="s">
        <v>9</v>
      </c>
      <c r="B1" s="1">
        <f>DATE(2026,5,10)</f>
        <v>46152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5501-D38B-4FF6-90FC-577159BE5D79}">
  <dimension ref="A1:E7"/>
  <sheetViews>
    <sheetView workbookViewId="0">
      <selection activeCell="A2" sqref="A2:B7"/>
    </sheetView>
  </sheetViews>
  <sheetFormatPr defaultRowHeight="14.5" x14ac:dyDescent="0.35"/>
  <cols>
    <col min="1" max="1" width="16.36328125" customWidth="1"/>
    <col min="2" max="2" width="13.6328125" customWidth="1"/>
    <col min="3" max="5" width="8.7265625" style="2"/>
    <col min="8" max="8" width="7.54296875" customWidth="1"/>
  </cols>
  <sheetData>
    <row r="1" spans="1:5" x14ac:dyDescent="0.35">
      <c r="A1" s="4" t="s">
        <v>10</v>
      </c>
      <c r="B1" s="4" t="s">
        <v>11</v>
      </c>
      <c r="C1" s="4" t="s">
        <v>17</v>
      </c>
      <c r="D1" s="4" t="s">
        <v>18</v>
      </c>
      <c r="E1" s="4" t="s">
        <v>19</v>
      </c>
    </row>
    <row r="2" spans="1:5" x14ac:dyDescent="0.35">
      <c r="A2" s="4" t="s">
        <v>12</v>
      </c>
      <c r="B2" s="6">
        <v>35973</v>
      </c>
      <c r="C2" s="4">
        <f>YEAR(B2)</f>
        <v>1998</v>
      </c>
      <c r="D2" s="4">
        <f>MONTH(B2)</f>
        <v>6</v>
      </c>
      <c r="E2" s="4">
        <f>DAY(B2)</f>
        <v>27</v>
      </c>
    </row>
    <row r="3" spans="1:5" x14ac:dyDescent="0.35">
      <c r="A3" s="4" t="s">
        <v>5</v>
      </c>
      <c r="B3" s="6">
        <v>38232</v>
      </c>
      <c r="C3" s="4">
        <f t="shared" ref="C3:C7" si="0">YEAR(B3)</f>
        <v>2004</v>
      </c>
      <c r="D3" s="4">
        <f t="shared" ref="D3:D7" si="1">MONTH(B3)</f>
        <v>9</v>
      </c>
      <c r="E3" s="4">
        <f t="shared" ref="E3:E7" si="2">DAY(B3)</f>
        <v>2</v>
      </c>
    </row>
    <row r="4" spans="1:5" x14ac:dyDescent="0.35">
      <c r="A4" s="4" t="s">
        <v>13</v>
      </c>
      <c r="B4" s="6">
        <v>38237</v>
      </c>
      <c r="C4" s="4">
        <f t="shared" si="0"/>
        <v>2004</v>
      </c>
      <c r="D4" s="4">
        <f t="shared" si="1"/>
        <v>9</v>
      </c>
      <c r="E4" s="4">
        <f t="shared" si="2"/>
        <v>7</v>
      </c>
    </row>
    <row r="5" spans="1:5" x14ac:dyDescent="0.35">
      <c r="A5" s="4" t="s">
        <v>14</v>
      </c>
      <c r="B5" s="6">
        <v>35411</v>
      </c>
      <c r="C5" s="4">
        <f t="shared" si="0"/>
        <v>1996</v>
      </c>
      <c r="D5" s="4">
        <f t="shared" si="1"/>
        <v>12</v>
      </c>
      <c r="E5" s="4">
        <f t="shared" si="2"/>
        <v>12</v>
      </c>
    </row>
    <row r="6" spans="1:5" x14ac:dyDescent="0.35">
      <c r="A6" s="4" t="s">
        <v>15</v>
      </c>
      <c r="B6" s="6">
        <v>34504</v>
      </c>
      <c r="C6" s="4">
        <f t="shared" si="0"/>
        <v>1994</v>
      </c>
      <c r="D6" s="4">
        <f t="shared" si="1"/>
        <v>6</v>
      </c>
      <c r="E6" s="4">
        <f t="shared" si="2"/>
        <v>19</v>
      </c>
    </row>
    <row r="7" spans="1:5" x14ac:dyDescent="0.35">
      <c r="A7" s="11" t="s">
        <v>16</v>
      </c>
      <c r="B7" s="6">
        <v>37126</v>
      </c>
      <c r="C7" s="4">
        <f t="shared" si="0"/>
        <v>2001</v>
      </c>
      <c r="D7" s="4">
        <f t="shared" si="1"/>
        <v>8</v>
      </c>
      <c r="E7" s="4">
        <f t="shared" si="2"/>
        <v>23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702A-D35E-40D9-85C7-7363AAB1456B}">
  <dimension ref="A1:J14"/>
  <sheetViews>
    <sheetView workbookViewId="0">
      <selection activeCell="I16" sqref="I16"/>
    </sheetView>
  </sheetViews>
  <sheetFormatPr defaultRowHeight="14.5" x14ac:dyDescent="0.35"/>
  <cols>
    <col min="1" max="1" width="13.54296875" bestFit="1" customWidth="1"/>
    <col min="2" max="2" width="14.26953125" customWidth="1"/>
    <col min="9" max="9" width="22.81640625" bestFit="1" customWidth="1"/>
    <col min="10" max="10" width="16.08984375" customWidth="1"/>
  </cols>
  <sheetData>
    <row r="1" spans="1:10" x14ac:dyDescent="0.35">
      <c r="A1" s="18" t="s">
        <v>9</v>
      </c>
      <c r="B1" s="18" t="s">
        <v>20</v>
      </c>
      <c r="C1" s="18" t="s">
        <v>17</v>
      </c>
      <c r="D1" s="18" t="s">
        <v>18</v>
      </c>
      <c r="E1" s="18" t="s">
        <v>19</v>
      </c>
    </row>
    <row r="2" spans="1:10" x14ac:dyDescent="0.35">
      <c r="A2" s="6">
        <f ca="1">TODAY()</f>
        <v>46154</v>
      </c>
      <c r="B2" s="12">
        <f ca="1">TODAY()</f>
        <v>46154</v>
      </c>
      <c r="C2" s="4">
        <f ca="1">YEAR(A2)</f>
        <v>2026</v>
      </c>
      <c r="D2" s="4">
        <f ca="1">MONTH(A2)</f>
        <v>5</v>
      </c>
      <c r="E2" s="4">
        <f ca="1">DAY(A2)</f>
        <v>12</v>
      </c>
    </row>
    <row r="3" spans="1:10" x14ac:dyDescent="0.35">
      <c r="A3" s="13">
        <v>46152</v>
      </c>
      <c r="B3" s="12">
        <v>46152</v>
      </c>
      <c r="C3" s="4">
        <f t="shared" ref="C3:C4" si="0">YEAR(A3)</f>
        <v>2026</v>
      </c>
      <c r="D3" s="4">
        <f>MONTH(A3)</f>
        <v>5</v>
      </c>
      <c r="E3" s="4">
        <f t="shared" ref="E3:E4" si="1">DAY(A3)</f>
        <v>10</v>
      </c>
    </row>
    <row r="4" spans="1:10" x14ac:dyDescent="0.35">
      <c r="A4" s="13">
        <v>37126</v>
      </c>
      <c r="B4" s="12">
        <v>37126</v>
      </c>
      <c r="C4" s="4">
        <f t="shared" si="0"/>
        <v>2001</v>
      </c>
      <c r="D4" s="4">
        <f t="shared" ref="D4" si="2">MONTH(A4)</f>
        <v>8</v>
      </c>
      <c r="E4" s="4">
        <f t="shared" si="1"/>
        <v>23</v>
      </c>
      <c r="I4" s="18" t="s">
        <v>9</v>
      </c>
      <c r="J4" s="18" t="s">
        <v>20</v>
      </c>
    </row>
    <row r="5" spans="1:10" x14ac:dyDescent="0.35">
      <c r="I5" s="6">
        <v>37126</v>
      </c>
      <c r="J5" s="12">
        <f>I5</f>
        <v>37126</v>
      </c>
    </row>
    <row r="6" spans="1:10" x14ac:dyDescent="0.35">
      <c r="I6" s="13">
        <v>37126</v>
      </c>
      <c r="J6" s="12">
        <f t="shared" ref="J6:J9" si="3">I6</f>
        <v>37126</v>
      </c>
    </row>
    <row r="7" spans="1:10" x14ac:dyDescent="0.35">
      <c r="I7" s="15">
        <v>37126</v>
      </c>
      <c r="J7" s="12">
        <f t="shared" si="3"/>
        <v>37126</v>
      </c>
    </row>
    <row r="8" spans="1:10" x14ac:dyDescent="0.35">
      <c r="I8" s="16">
        <v>37126</v>
      </c>
      <c r="J8" s="12">
        <f t="shared" si="3"/>
        <v>37126</v>
      </c>
    </row>
    <row r="9" spans="1:10" x14ac:dyDescent="0.35">
      <c r="I9" s="14">
        <v>37126</v>
      </c>
      <c r="J9" s="12">
        <f t="shared" si="3"/>
        <v>37126</v>
      </c>
    </row>
    <row r="11" spans="1:10" x14ac:dyDescent="0.35">
      <c r="A11" s="18" t="s">
        <v>20</v>
      </c>
      <c r="B11" s="18" t="s">
        <v>17</v>
      </c>
      <c r="C11" s="18" t="s">
        <v>18</v>
      </c>
      <c r="D11" s="18" t="s">
        <v>19</v>
      </c>
    </row>
    <row r="12" spans="1:10" x14ac:dyDescent="0.35">
      <c r="A12" s="12">
        <v>43857</v>
      </c>
      <c r="B12" s="4">
        <f>YEAR(A12)</f>
        <v>2020</v>
      </c>
      <c r="C12" s="4">
        <f>MONTH(A12)</f>
        <v>1</v>
      </c>
      <c r="D12" s="4">
        <f>DAY(A12)</f>
        <v>27</v>
      </c>
    </row>
    <row r="13" spans="1:10" x14ac:dyDescent="0.35">
      <c r="A13" s="12">
        <v>37126</v>
      </c>
      <c r="B13" s="4">
        <f>YEAR(A13)</f>
        <v>2001</v>
      </c>
      <c r="C13" s="4">
        <f>MONTH(A13)</f>
        <v>8</v>
      </c>
      <c r="D13" s="4">
        <f>DAY(A13)</f>
        <v>23</v>
      </c>
    </row>
    <row r="14" spans="1:10" x14ac:dyDescent="0.35">
      <c r="A14" s="12"/>
      <c r="B14" s="4"/>
      <c r="C14" s="4"/>
      <c r="D14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69C8-CF60-4753-AB45-9BFB54471CF5}">
  <dimension ref="A1:D22"/>
  <sheetViews>
    <sheetView topLeftCell="A8" workbookViewId="0">
      <selection activeCell="D19" sqref="D19"/>
    </sheetView>
  </sheetViews>
  <sheetFormatPr defaultRowHeight="14.5" x14ac:dyDescent="0.35"/>
  <cols>
    <col min="1" max="1" width="15.81640625" customWidth="1"/>
    <col min="2" max="2" width="14.90625" bestFit="1" customWidth="1"/>
    <col min="3" max="3" width="17.26953125" style="20" bestFit="1" customWidth="1"/>
    <col min="4" max="4" width="17.26953125" bestFit="1" customWidth="1"/>
  </cols>
  <sheetData>
    <row r="1" spans="1:4" x14ac:dyDescent="0.35">
      <c r="A1" s="17" t="s">
        <v>21</v>
      </c>
      <c r="B1" s="17" t="s">
        <v>22</v>
      </c>
      <c r="C1" s="17" t="s">
        <v>23</v>
      </c>
    </row>
    <row r="2" spans="1:4" x14ac:dyDescent="0.35">
      <c r="A2" s="6">
        <f ca="1">TODAY()</f>
        <v>46154</v>
      </c>
      <c r="B2" s="4">
        <v>5</v>
      </c>
      <c r="C2" s="19">
        <f ca="1">A2+B2</f>
        <v>46159</v>
      </c>
    </row>
    <row r="3" spans="1:4" x14ac:dyDescent="0.35">
      <c r="A3" s="6">
        <f t="shared" ref="A3:A5" ca="1" si="0">TODAY()</f>
        <v>46154</v>
      </c>
      <c r="B3" s="4">
        <v>3</v>
      </c>
      <c r="C3" s="19">
        <f t="shared" ref="C3:C5" ca="1" si="1">A3+B3</f>
        <v>46157</v>
      </c>
    </row>
    <row r="4" spans="1:4" x14ac:dyDescent="0.35">
      <c r="A4" s="6">
        <f t="shared" ca="1" si="0"/>
        <v>46154</v>
      </c>
      <c r="B4" s="4">
        <v>10</v>
      </c>
      <c r="C4" s="19">
        <f t="shared" ca="1" si="1"/>
        <v>46164</v>
      </c>
    </row>
    <row r="5" spans="1:4" x14ac:dyDescent="0.35">
      <c r="A5" s="6">
        <f t="shared" ca="1" si="0"/>
        <v>46154</v>
      </c>
      <c r="B5" s="4">
        <v>7</v>
      </c>
      <c r="C5" s="19">
        <f t="shared" ca="1" si="1"/>
        <v>46161</v>
      </c>
    </row>
    <row r="10" spans="1:4" x14ac:dyDescent="0.35">
      <c r="A10" s="17" t="s">
        <v>21</v>
      </c>
      <c r="B10" s="17" t="s">
        <v>24</v>
      </c>
      <c r="C10" s="17" t="s">
        <v>23</v>
      </c>
      <c r="D10" s="17" t="s">
        <v>23</v>
      </c>
    </row>
    <row r="11" spans="1:4" x14ac:dyDescent="0.35">
      <c r="A11" s="6">
        <f ca="1">TODAY()</f>
        <v>46154</v>
      </c>
      <c r="B11" s="4">
        <v>5</v>
      </c>
      <c r="C11" s="22">
        <f ca="1">(B11 * 30) + A11</f>
        <v>46304</v>
      </c>
      <c r="D11" s="21">
        <f ca="1">EDATE(A11,B11)</f>
        <v>46307</v>
      </c>
    </row>
    <row r="12" spans="1:4" x14ac:dyDescent="0.35">
      <c r="A12" s="6">
        <f t="shared" ref="A12:A14" ca="1" si="2">TODAY()</f>
        <v>46154</v>
      </c>
      <c r="B12" s="4">
        <v>3</v>
      </c>
      <c r="C12" s="22">
        <f t="shared" ref="C12:C14" ca="1" si="3">(B12 * 30) + A12</f>
        <v>46244</v>
      </c>
      <c r="D12" s="21">
        <f t="shared" ref="D12:D14" ca="1" si="4">EDATE(A12,B12)</f>
        <v>46246</v>
      </c>
    </row>
    <row r="13" spans="1:4" x14ac:dyDescent="0.35">
      <c r="A13" s="6">
        <f t="shared" ca="1" si="2"/>
        <v>46154</v>
      </c>
      <c r="B13" s="4">
        <v>10</v>
      </c>
      <c r="C13" s="22">
        <f t="shared" ca="1" si="3"/>
        <v>46454</v>
      </c>
      <c r="D13" s="21">
        <f t="shared" ca="1" si="4"/>
        <v>46458</v>
      </c>
    </row>
    <row r="14" spans="1:4" x14ac:dyDescent="0.35">
      <c r="A14" s="6">
        <f t="shared" ca="1" si="2"/>
        <v>46154</v>
      </c>
      <c r="B14" s="4">
        <v>7</v>
      </c>
      <c r="C14" s="22">
        <f t="shared" ca="1" si="3"/>
        <v>46364</v>
      </c>
      <c r="D14" s="21">
        <f t="shared" ca="1" si="4"/>
        <v>46368</v>
      </c>
    </row>
    <row r="18" spans="1:4" x14ac:dyDescent="0.35">
      <c r="A18" s="17" t="s">
        <v>21</v>
      </c>
      <c r="B18" s="17" t="s">
        <v>25</v>
      </c>
      <c r="C18" s="17" t="s">
        <v>23</v>
      </c>
      <c r="D18" s="17" t="s">
        <v>23</v>
      </c>
    </row>
    <row r="19" spans="1:4" x14ac:dyDescent="0.35">
      <c r="A19" s="6">
        <f ca="1">TODAY()</f>
        <v>46154</v>
      </c>
      <c r="B19" s="4">
        <v>5</v>
      </c>
      <c r="C19" s="22">
        <f ca="1" xml:space="preserve"> (B19 * 30 * 12 ) + A19</f>
        <v>47954</v>
      </c>
      <c r="D19" s="21">
        <f ca="1">EDATE(A19,B19*12)</f>
        <v>47980</v>
      </c>
    </row>
    <row r="20" spans="1:4" x14ac:dyDescent="0.35">
      <c r="A20" s="6">
        <f t="shared" ref="A20:A22" ca="1" si="5">TODAY()</f>
        <v>46154</v>
      </c>
      <c r="B20" s="4">
        <v>3</v>
      </c>
      <c r="C20" s="22">
        <f t="shared" ref="C20:C22" ca="1" si="6" xml:space="preserve"> (B20 * 30 * 12 ) + A20</f>
        <v>47234</v>
      </c>
      <c r="D20" s="21">
        <f t="shared" ref="D20:D22" ca="1" si="7">EDATE(A20,B20*12)</f>
        <v>47250</v>
      </c>
    </row>
    <row r="21" spans="1:4" x14ac:dyDescent="0.35">
      <c r="A21" s="6">
        <f t="shared" ca="1" si="5"/>
        <v>46154</v>
      </c>
      <c r="B21" s="4">
        <v>100</v>
      </c>
      <c r="C21" s="22">
        <f t="shared" ca="1" si="6"/>
        <v>82154</v>
      </c>
      <c r="D21" s="21">
        <f t="shared" ca="1" si="7"/>
        <v>82678</v>
      </c>
    </row>
    <row r="22" spans="1:4" x14ac:dyDescent="0.35">
      <c r="A22" s="6">
        <f t="shared" ca="1" si="5"/>
        <v>46154</v>
      </c>
      <c r="B22" s="4">
        <v>7</v>
      </c>
      <c r="C22" s="22">
        <f t="shared" ca="1" si="6"/>
        <v>48674</v>
      </c>
      <c r="D22" s="21">
        <f t="shared" ca="1" si="7"/>
        <v>48711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995-641E-413F-A8F8-844A213404E9}">
  <dimension ref="A1:J39"/>
  <sheetViews>
    <sheetView tabSelected="1" topLeftCell="A25" workbookViewId="0">
      <selection activeCell="H36" sqref="H36"/>
    </sheetView>
  </sheetViews>
  <sheetFormatPr defaultRowHeight="14.5" x14ac:dyDescent="0.35"/>
  <cols>
    <col min="1" max="1" width="15.7265625" customWidth="1"/>
    <col min="2" max="2" width="13.1796875" style="2" customWidth="1"/>
    <col min="3" max="3" width="14.08984375" style="2" bestFit="1" customWidth="1"/>
    <col min="4" max="4" width="15.36328125" style="20" customWidth="1"/>
    <col min="5" max="5" width="16.90625" style="2" customWidth="1"/>
    <col min="6" max="6" width="23.36328125" customWidth="1"/>
    <col min="7" max="7" width="15" customWidth="1"/>
    <col min="8" max="8" width="14.7265625" customWidth="1"/>
  </cols>
  <sheetData>
    <row r="1" spans="1:10" x14ac:dyDescent="0.35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</row>
    <row r="2" spans="1:10" x14ac:dyDescent="0.35">
      <c r="A2" s="4" t="s">
        <v>12</v>
      </c>
      <c r="B2" s="6">
        <v>35973</v>
      </c>
      <c r="C2" s="4">
        <f ca="1">DATEDIF(B2,TODAY(),"Y")</f>
        <v>27</v>
      </c>
      <c r="D2" s="5">
        <f ca="1">DATEDIF(B2,TODAY(),"M")</f>
        <v>334</v>
      </c>
      <c r="E2" s="4">
        <f ca="1">DATEDIF(B2,TODAY(),"D")</f>
        <v>10181</v>
      </c>
      <c r="G2" s="1">
        <v>35927</v>
      </c>
      <c r="H2" s="4">
        <f ca="1">DATEDIF(G2,TODAY(),"Y")</f>
        <v>28</v>
      </c>
      <c r="I2" s="5">
        <f ca="1">DATEDIF(G2,TODAY(),"M")</f>
        <v>336</v>
      </c>
    </row>
    <row r="3" spans="1:10" x14ac:dyDescent="0.35">
      <c r="A3" s="4" t="s">
        <v>5</v>
      </c>
      <c r="B3" s="6">
        <v>38232</v>
      </c>
      <c r="C3" s="4">
        <f t="shared" ref="C3:C7" ca="1" si="0">DATEDIF(B3,TODAY(),"Y")</f>
        <v>21</v>
      </c>
      <c r="D3" s="5">
        <f t="shared" ref="D3:D7" ca="1" si="1">DATEDIF(B3,TODAY(),"M")</f>
        <v>260</v>
      </c>
      <c r="E3" s="4">
        <f t="shared" ref="E3:E7" ca="1" si="2">DATEDIF(B3,TODAY(),"D")</f>
        <v>7922</v>
      </c>
      <c r="I3" s="2">
        <f>28 * 12</f>
        <v>336</v>
      </c>
    </row>
    <row r="4" spans="1:10" x14ac:dyDescent="0.35">
      <c r="A4" s="4" t="s">
        <v>13</v>
      </c>
      <c r="B4" s="6">
        <v>38237</v>
      </c>
      <c r="C4" s="4">
        <f t="shared" ca="1" si="0"/>
        <v>21</v>
      </c>
      <c r="D4" s="5">
        <f t="shared" ca="1" si="1"/>
        <v>260</v>
      </c>
      <c r="E4" s="4">
        <f t="shared" ca="1" si="2"/>
        <v>7917</v>
      </c>
    </row>
    <row r="5" spans="1:10" x14ac:dyDescent="0.35">
      <c r="A5" s="4" t="s">
        <v>14</v>
      </c>
      <c r="B5" s="6">
        <v>35411</v>
      </c>
      <c r="C5" s="4">
        <f t="shared" ca="1" si="0"/>
        <v>29</v>
      </c>
      <c r="D5" s="5">
        <f t="shared" ca="1" si="1"/>
        <v>353</v>
      </c>
      <c r="E5" s="4">
        <f t="shared" ca="1" si="2"/>
        <v>10743</v>
      </c>
      <c r="G5" s="6">
        <v>38232</v>
      </c>
      <c r="H5" s="1">
        <f ca="1">TODAY()</f>
        <v>46154</v>
      </c>
      <c r="I5" s="2">
        <v>21</v>
      </c>
      <c r="J5">
        <v>4</v>
      </c>
    </row>
    <row r="6" spans="1:10" x14ac:dyDescent="0.35">
      <c r="A6" s="4" t="s">
        <v>15</v>
      </c>
      <c r="B6" s="6">
        <v>34504</v>
      </c>
      <c r="C6" s="4">
        <f t="shared" ca="1" si="0"/>
        <v>31</v>
      </c>
      <c r="D6" s="5">
        <f t="shared" ca="1" si="1"/>
        <v>382</v>
      </c>
      <c r="E6" s="4">
        <f t="shared" ca="1" si="2"/>
        <v>11650</v>
      </c>
      <c r="I6" s="2">
        <f>21 * 12</f>
        <v>252</v>
      </c>
    </row>
    <row r="7" spans="1:10" x14ac:dyDescent="0.35">
      <c r="A7" s="11" t="s">
        <v>16</v>
      </c>
      <c r="B7" s="6">
        <v>37126</v>
      </c>
      <c r="C7" s="4">
        <f t="shared" ca="1" si="0"/>
        <v>24</v>
      </c>
      <c r="D7" s="5">
        <f t="shared" ca="1" si="1"/>
        <v>296</v>
      </c>
      <c r="E7" s="4">
        <f t="shared" ca="1" si="2"/>
        <v>9028</v>
      </c>
      <c r="I7" s="20">
        <f>I6+8</f>
        <v>260</v>
      </c>
    </row>
    <row r="12" spans="1:10" x14ac:dyDescent="0.35">
      <c r="A12" s="18" t="s">
        <v>26</v>
      </c>
      <c r="B12" s="18" t="s">
        <v>27</v>
      </c>
      <c r="C12" s="18" t="s">
        <v>31</v>
      </c>
      <c r="D12" s="18" t="s">
        <v>28</v>
      </c>
      <c r="E12" s="18" t="s">
        <v>29</v>
      </c>
      <c r="F12" s="18" t="s">
        <v>30</v>
      </c>
    </row>
    <row r="13" spans="1:10" x14ac:dyDescent="0.35">
      <c r="A13" s="4" t="s">
        <v>12</v>
      </c>
      <c r="B13" s="6">
        <v>35973</v>
      </c>
      <c r="C13" s="6">
        <f ca="1">TODAY()</f>
        <v>46154</v>
      </c>
      <c r="D13" s="5">
        <f ca="1">DATEDIF(B13,C13,"Y")</f>
        <v>27</v>
      </c>
      <c r="E13" s="4">
        <f ca="1">DATEDIF(B13,C13,"M")</f>
        <v>334</v>
      </c>
      <c r="F13" s="4">
        <f ca="1">DATEDIF(B13,C13,"D")</f>
        <v>10181</v>
      </c>
    </row>
    <row r="14" spans="1:10" x14ac:dyDescent="0.35">
      <c r="A14" s="4" t="s">
        <v>5</v>
      </c>
      <c r="B14" s="6">
        <v>38232</v>
      </c>
      <c r="C14" s="6">
        <f t="shared" ref="C14:C18" ca="1" si="3">TODAY()</f>
        <v>46154</v>
      </c>
      <c r="D14" s="5">
        <f t="shared" ref="D14:D18" ca="1" si="4">DATEDIF(B14,C14,"Y")</f>
        <v>21</v>
      </c>
      <c r="E14" s="4">
        <f t="shared" ref="E14:E18" ca="1" si="5">DATEDIF(B14,C14,"M")</f>
        <v>260</v>
      </c>
      <c r="F14" s="4">
        <f t="shared" ref="F14:F18" ca="1" si="6">DATEDIF(B14,C14,"D")</f>
        <v>7922</v>
      </c>
    </row>
    <row r="15" spans="1:10" x14ac:dyDescent="0.35">
      <c r="A15" s="4" t="s">
        <v>13</v>
      </c>
      <c r="B15" s="6">
        <v>38237</v>
      </c>
      <c r="C15" s="6">
        <f t="shared" ca="1" si="3"/>
        <v>46154</v>
      </c>
      <c r="D15" s="5">
        <f t="shared" ca="1" si="4"/>
        <v>21</v>
      </c>
      <c r="E15" s="4">
        <f t="shared" ca="1" si="5"/>
        <v>260</v>
      </c>
      <c r="F15" s="4">
        <f t="shared" ca="1" si="6"/>
        <v>7917</v>
      </c>
    </row>
    <row r="16" spans="1:10" x14ac:dyDescent="0.35">
      <c r="A16" s="4" t="s">
        <v>14</v>
      </c>
      <c r="B16" s="6">
        <v>35411</v>
      </c>
      <c r="C16" s="6">
        <f t="shared" ca="1" si="3"/>
        <v>46154</v>
      </c>
      <c r="D16" s="5">
        <f t="shared" ca="1" si="4"/>
        <v>29</v>
      </c>
      <c r="E16" s="4">
        <f t="shared" ca="1" si="5"/>
        <v>353</v>
      </c>
      <c r="F16" s="4">
        <f t="shared" ca="1" si="6"/>
        <v>10743</v>
      </c>
    </row>
    <row r="17" spans="1:7" x14ac:dyDescent="0.35">
      <c r="A17" s="4" t="s">
        <v>15</v>
      </c>
      <c r="B17" s="6">
        <v>34504</v>
      </c>
      <c r="C17" s="6">
        <f t="shared" ca="1" si="3"/>
        <v>46154</v>
      </c>
      <c r="D17" s="5">
        <f t="shared" ca="1" si="4"/>
        <v>31</v>
      </c>
      <c r="E17" s="4">
        <f t="shared" ca="1" si="5"/>
        <v>382</v>
      </c>
      <c r="F17" s="4">
        <f t="shared" ca="1" si="6"/>
        <v>11650</v>
      </c>
    </row>
    <row r="18" spans="1:7" x14ac:dyDescent="0.35">
      <c r="A18" s="11" t="s">
        <v>16</v>
      </c>
      <c r="B18" s="6">
        <v>37126</v>
      </c>
      <c r="C18" s="6">
        <f t="shared" ca="1" si="3"/>
        <v>46154</v>
      </c>
      <c r="D18" s="5">
        <f t="shared" ca="1" si="4"/>
        <v>24</v>
      </c>
      <c r="E18" s="4">
        <f t="shared" ca="1" si="5"/>
        <v>296</v>
      </c>
      <c r="F18" s="4">
        <f t="shared" ca="1" si="6"/>
        <v>9028</v>
      </c>
    </row>
    <row r="22" spans="1:7" x14ac:dyDescent="0.35">
      <c r="A22" s="18" t="s">
        <v>26</v>
      </c>
      <c r="B22" s="18" t="s">
        <v>27</v>
      </c>
      <c r="C22" s="18" t="s">
        <v>32</v>
      </c>
      <c r="D22" s="18" t="s">
        <v>28</v>
      </c>
      <c r="E22" s="18" t="s">
        <v>29</v>
      </c>
      <c r="F22" s="18" t="s">
        <v>30</v>
      </c>
    </row>
    <row r="23" spans="1:7" x14ac:dyDescent="0.35">
      <c r="A23" s="4" t="s">
        <v>12</v>
      </c>
      <c r="B23" s="6">
        <v>35973</v>
      </c>
      <c r="C23" s="6">
        <v>46200</v>
      </c>
      <c r="D23" s="5">
        <f>DATEDIF(B23,C23,"Y")</f>
        <v>28</v>
      </c>
      <c r="E23" s="4">
        <f>DATEDIF(B23,C23,"M")</f>
        <v>336</v>
      </c>
      <c r="F23" s="4">
        <f>DATEDIF(B23,C23,"D")</f>
        <v>10227</v>
      </c>
    </row>
    <row r="24" spans="1:7" x14ac:dyDescent="0.35">
      <c r="A24" s="4" t="s">
        <v>5</v>
      </c>
      <c r="B24" s="6">
        <v>38232</v>
      </c>
      <c r="C24" s="6">
        <v>46267</v>
      </c>
      <c r="D24" s="5">
        <f t="shared" ref="D24:D28" si="7">DATEDIF(B24,C24,"Y")</f>
        <v>22</v>
      </c>
      <c r="E24" s="4">
        <f t="shared" ref="E24:E28" si="8">DATEDIF(B24,C24,"M")</f>
        <v>264</v>
      </c>
      <c r="F24" s="4">
        <f t="shared" ref="F24:F28" si="9">DATEDIF(B24,C24,"D")</f>
        <v>8035</v>
      </c>
    </row>
    <row r="25" spans="1:7" x14ac:dyDescent="0.35">
      <c r="A25" s="4" t="s">
        <v>13</v>
      </c>
      <c r="B25" s="6">
        <v>38237</v>
      </c>
      <c r="C25" s="6">
        <v>46272</v>
      </c>
      <c r="D25" s="5">
        <f t="shared" si="7"/>
        <v>22</v>
      </c>
      <c r="E25" s="4">
        <f t="shared" si="8"/>
        <v>264</v>
      </c>
      <c r="F25" s="4">
        <f t="shared" si="9"/>
        <v>8035</v>
      </c>
    </row>
    <row r="26" spans="1:7" x14ac:dyDescent="0.35">
      <c r="A26" s="4" t="s">
        <v>14</v>
      </c>
      <c r="B26" s="6">
        <v>35411</v>
      </c>
      <c r="C26" s="6">
        <v>46368</v>
      </c>
      <c r="D26" s="5">
        <f t="shared" si="7"/>
        <v>30</v>
      </c>
      <c r="E26" s="4">
        <f t="shared" si="8"/>
        <v>360</v>
      </c>
      <c r="F26" s="4">
        <f t="shared" si="9"/>
        <v>10957</v>
      </c>
    </row>
    <row r="27" spans="1:7" x14ac:dyDescent="0.35">
      <c r="A27" s="4" t="s">
        <v>15</v>
      </c>
      <c r="B27" s="6">
        <v>34504</v>
      </c>
      <c r="C27" s="6">
        <v>46192</v>
      </c>
      <c r="D27" s="5">
        <f t="shared" si="7"/>
        <v>32</v>
      </c>
      <c r="E27" s="4">
        <f t="shared" si="8"/>
        <v>384</v>
      </c>
      <c r="F27" s="4">
        <f>DATEDIF(B27,C27,"D")</f>
        <v>11688</v>
      </c>
      <c r="G27" s="2"/>
    </row>
    <row r="28" spans="1:7" x14ac:dyDescent="0.35">
      <c r="A28" s="11" t="s">
        <v>16</v>
      </c>
      <c r="B28" s="6">
        <v>37126</v>
      </c>
      <c r="C28" s="6">
        <v>46257</v>
      </c>
      <c r="D28" s="5">
        <f t="shared" si="7"/>
        <v>25</v>
      </c>
      <c r="E28" s="4">
        <f t="shared" si="8"/>
        <v>300</v>
      </c>
      <c r="F28" s="4">
        <f t="shared" si="9"/>
        <v>9131</v>
      </c>
    </row>
    <row r="33" spans="1:7" x14ac:dyDescent="0.35">
      <c r="A33" s="18" t="s">
        <v>26</v>
      </c>
      <c r="B33" s="18" t="s">
        <v>27</v>
      </c>
      <c r="C33" s="18" t="s">
        <v>33</v>
      </c>
      <c r="D33" s="27" t="s">
        <v>34</v>
      </c>
      <c r="E33" s="18" t="s">
        <v>35</v>
      </c>
      <c r="F33" s="25"/>
    </row>
    <row r="34" spans="1:7" x14ac:dyDescent="0.35">
      <c r="A34" s="4" t="s">
        <v>12</v>
      </c>
      <c r="B34" s="6">
        <v>35973</v>
      </c>
      <c r="C34" s="4">
        <f ca="1">DATEDIF(B34,TODAY(),"Y")</f>
        <v>27</v>
      </c>
      <c r="D34" s="28">
        <f ca="1">DATEDIF(B34,TODAY(),"YM")</f>
        <v>10</v>
      </c>
      <c r="E34" s="4">
        <f ca="1">DATEDIF(B34,TODAY(),"MD")</f>
        <v>15</v>
      </c>
      <c r="F34" s="25"/>
    </row>
    <row r="35" spans="1:7" x14ac:dyDescent="0.35">
      <c r="A35" s="4" t="s">
        <v>5</v>
      </c>
      <c r="B35" s="6">
        <v>38232</v>
      </c>
      <c r="C35" s="4">
        <f t="shared" ref="C35:C39" ca="1" si="10">DATEDIF(B35,TODAY(),"Y")</f>
        <v>21</v>
      </c>
      <c r="D35" s="28">
        <f t="shared" ref="D35:D39" ca="1" si="11">DATEDIF(B35,TODAY(),"YM")</f>
        <v>8</v>
      </c>
      <c r="E35" s="4">
        <f t="shared" ref="E35:E39" ca="1" si="12">DATEDIF(B35,TODAY(),"MD")</f>
        <v>10</v>
      </c>
      <c r="F35" s="25"/>
    </row>
    <row r="36" spans="1:7" x14ac:dyDescent="0.35">
      <c r="A36" s="4" t="s">
        <v>13</v>
      </c>
      <c r="B36" s="6">
        <v>38237</v>
      </c>
      <c r="C36" s="4">
        <f t="shared" ca="1" si="10"/>
        <v>21</v>
      </c>
      <c r="D36" s="28">
        <f t="shared" ca="1" si="11"/>
        <v>8</v>
      </c>
      <c r="E36" s="4">
        <f t="shared" ca="1" si="12"/>
        <v>5</v>
      </c>
      <c r="F36" s="25"/>
    </row>
    <row r="37" spans="1:7" x14ac:dyDescent="0.35">
      <c r="A37" s="4" t="s">
        <v>14</v>
      </c>
      <c r="B37" s="6">
        <v>35411</v>
      </c>
      <c r="C37" s="4">
        <f ca="1">DATEDIF(B37,TODAY(),"Y")</f>
        <v>29</v>
      </c>
      <c r="D37" s="28">
        <f t="shared" ca="1" si="11"/>
        <v>5</v>
      </c>
      <c r="E37" s="4">
        <f t="shared" ca="1" si="12"/>
        <v>0</v>
      </c>
      <c r="F37" s="25"/>
    </row>
    <row r="38" spans="1:7" x14ac:dyDescent="0.35">
      <c r="A38" s="23" t="s">
        <v>15</v>
      </c>
      <c r="B38" s="24">
        <v>34504</v>
      </c>
      <c r="C38" s="23">
        <f t="shared" ca="1" si="10"/>
        <v>31</v>
      </c>
      <c r="D38" s="29">
        <f t="shared" ca="1" si="11"/>
        <v>10</v>
      </c>
      <c r="E38" s="4">
        <f t="shared" ca="1" si="12"/>
        <v>23</v>
      </c>
      <c r="F38" s="26"/>
      <c r="G38" s="2"/>
    </row>
    <row r="39" spans="1:7" x14ac:dyDescent="0.35">
      <c r="A39" s="11" t="s">
        <v>16</v>
      </c>
      <c r="B39" s="6">
        <v>37126</v>
      </c>
      <c r="C39" s="4">
        <f t="shared" ca="1" si="10"/>
        <v>24</v>
      </c>
      <c r="D39" s="28">
        <f t="shared" ca="1" si="11"/>
        <v>8</v>
      </c>
      <c r="E39" s="4">
        <f t="shared" ca="1" si="12"/>
        <v>19</v>
      </c>
      <c r="F39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Today</vt:lpstr>
      <vt:lpstr>Now</vt:lpstr>
      <vt:lpstr>Date</vt:lpstr>
      <vt:lpstr>DayMonthYear</vt:lpstr>
      <vt:lpstr>SerialNumber</vt:lpstr>
      <vt:lpstr>EDate</vt:lpstr>
      <vt:lpstr>DateDif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2026-05-11T08:36:23Z</dcterms:created>
  <dcterms:modified xsi:type="dcterms:W3CDTF">2026-05-12T09:49:19Z</dcterms:modified>
</cp:coreProperties>
</file>